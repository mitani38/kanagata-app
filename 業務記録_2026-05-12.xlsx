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フォーマット" sheetId="1" state="visible" r:id="rId1"/>
    <sheet name="１日（例）" sheetId="2" state="visible" r:id="rId2"/>
    <sheet name="1週間（例）" sheetId="3" state="visible" r:id="rId3"/>
    <sheet name="2026-05-12" sheetId="4" state="visible" r:id="rId4"/>
  </sheets>
  <externalReferences>
    <externalReference r:id="rId5"/>
    <externalReference r:id="rId6"/>
    <externalReference r:id="rId7"/>
    <externalReference r:id="rId8"/>
    <externalReference r:id="rId9"/>
    <externalReference r:id="rId10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  <definedName name="_H14" localSheetId="1">'１日（例）'!_H14</definedName>
    <definedName name="_H15" localSheetId="1">'１日（例）'!_H15</definedName>
    <definedName name="_H16" localSheetId="1">'１日（例）'!_H16</definedName>
    <definedName name="_H17" localSheetId="1">'１日（例）'!_H17</definedName>
    <definedName name="_H18" localSheetId="1">'１日（例）'!_H18</definedName>
    <definedName name="_H19" localSheetId="1">'１日（例）'!_H19</definedName>
    <definedName name="_H20" localSheetId="1">'１日（例）'!_H20</definedName>
    <definedName name="_H21" localSheetId="1">'１日（例）'!_H21</definedName>
    <definedName name="_H22" localSheetId="1">'１日（例）'!_H22</definedName>
    <definedName name="A" localSheetId="1">'１日（例）'!A</definedName>
    <definedName name="AA" localSheetId="1">'１日（例）'!AA</definedName>
    <definedName name="ＡＡＡ" localSheetId="1">'１日（例）'!ＡＡＡ</definedName>
    <definedName name="AAAA" localSheetId="1">'１日（例）'!AAAA</definedName>
    <definedName name="AAAAA" localSheetId="1">'１日（例）'!AAAAA</definedName>
    <definedName name="AAAAAAAAAA" localSheetId="1">'１日（例）'!AAAAAAAAAA</definedName>
    <definedName name="AAAAAAAAAAAAA" localSheetId="1">'１日（例）'!AAAAAAAAAAAAA</definedName>
    <definedName name="ABC" localSheetId="1">'１日（例）'!ABC</definedName>
    <definedName name="BB" localSheetId="1">'１日（例）'!BB</definedName>
    <definedName name="BBBB" localSheetId="1">'１日（例）'!BBBB</definedName>
    <definedName name="ＢＢＢＢＢ" localSheetId="1">'１日（例）'!ＢＢＢＢＢ</definedName>
    <definedName name="BHYT" localSheetId="1">'１日（例）'!BHYT</definedName>
    <definedName name="CC" localSheetId="1">'１日（例）'!CC</definedName>
    <definedName name="CCCC" localSheetId="1">'１日（例）'!CCCC</definedName>
    <definedName name="CCCCC" localSheetId="1">'１日（例）'!CCCCC</definedName>
    <definedName name="ＤＤ" localSheetId="1">'１日（例）'!ＤＤ</definedName>
    <definedName name="ＤＤＤ" localSheetId="1">'１日（例）'!ＤＤＤ</definedName>
    <definedName name="ＤＤＤＤＤ" localSheetId="1">'１日（例）'!ＤＤＤＤＤ</definedName>
    <definedName name="DDDDDDD" localSheetId="1">'１日（例）'!DDDDDDD</definedName>
    <definedName name="EEEEE" localSheetId="1">'１日（例）'!EEEEE</definedName>
    <definedName name="FF" localSheetId="1">'１日（例）'!FF</definedName>
    <definedName name="FFF" localSheetId="1">'１日（例）'!FFF</definedName>
    <definedName name="ＦＦＦＦ" localSheetId="1">'１日（例）'!ＦＦＦＦ</definedName>
    <definedName name="FFFFF" localSheetId="1">'１日（例）'!FFFFF</definedName>
    <definedName name="GEWWE" localSheetId="1">'１日（例）'!GEWWE</definedName>
    <definedName name="GGGG" localSheetId="1">'１日（例）'!GGGG</definedName>
    <definedName name="GGGGG" localSheetId="1">'１日（例）'!GGGGG</definedName>
    <definedName name="GGTY" localSheetId="1">'１日（例）'!GGTY</definedName>
    <definedName name="GGTY2" localSheetId="1">'１日（例）'!GGTY2</definedName>
    <definedName name="GOSAKU" localSheetId="1">'１日（例）'!GOSAKU</definedName>
    <definedName name="GRA" localSheetId="1">'１日（例）'!GRA</definedName>
    <definedName name="Gさ" localSheetId="1">'１日（例）'!Gさ</definedName>
    <definedName name="Ｇら" localSheetId="1">'１日（例）'!Ｇら</definedName>
    <definedName name="H17誤作率" localSheetId="1">'１日（例）'!H17誤作率</definedName>
    <definedName name="HH" localSheetId="1">'１日（例）'!HH</definedName>
    <definedName name="HHH" localSheetId="1">'１日（例）'!HHH</definedName>
    <definedName name="HHHHHHH" localSheetId="1">'１日（例）'!HHHHHHH</definedName>
    <definedName name="HHHYU" localSheetId="1">'１日（例）'!HHHYU</definedName>
    <definedName name="III" localSheetId="1">'１日（例）'!III</definedName>
    <definedName name="ｊｊ" localSheetId="1">'１日（例）'!ｊｊ</definedName>
    <definedName name="JJJ" localSheetId="1">'１日（例）'!JJJ</definedName>
    <definedName name="JJJII" localSheetId="1">'１日（例）'!JJJII</definedName>
    <definedName name="JUIO" localSheetId="1">'１日（例）'!JUIO</definedName>
    <definedName name="JUIOI" localSheetId="1">'１日（例）'!JUIOI</definedName>
    <definedName name="KI" localSheetId="1">'１日（例）'!KI</definedName>
    <definedName name="KK" localSheetId="1">'１日（例）'!KK</definedName>
    <definedName name="KKI" localSheetId="1">'１日（例）'!KKI</definedName>
    <definedName name="Macro1" localSheetId="1">'１日（例）'!Macro1</definedName>
    <definedName name="Macro2" localSheetId="1">'１日（例）'!Macro2</definedName>
    <definedName name="MAM" localSheetId="1">'１日（例）'!MAM</definedName>
    <definedName name="MAMIIN" localSheetId="1">'１日（例）'!MAMIIN</definedName>
    <definedName name="MAMMM" localSheetId="1">'１日（例）'!MAMMM</definedName>
    <definedName name="MATE" localSheetId="1">'１日（例）'!MATE</definedName>
    <definedName name="MATES" localSheetId="1">'１日（例）'!MATES</definedName>
    <definedName name="MATESA" localSheetId="1">'１日（例）'!MATESA</definedName>
    <definedName name="MM" localSheetId="1">'１日（例）'!MM</definedName>
    <definedName name="MMIIUUU" localSheetId="1">'１日（例）'!MMIIUUU</definedName>
    <definedName name="MMM" localSheetId="1">'１日（例）'!MMM</definedName>
    <definedName name="MMNNBBV" localSheetId="1">'１日（例）'!MMNNBBV</definedName>
    <definedName name="NIK" localSheetId="1">'１日（例）'!NIK</definedName>
    <definedName name="NN" localSheetId="1">'１日（例）'!NN</definedName>
    <definedName name="NNA" localSheetId="1">'１日（例）'!NNA</definedName>
    <definedName name="NNNIM" localSheetId="1">'１日（例）'!NNNIM</definedName>
    <definedName name="NNUI" localSheetId="1">'１日（例）'!NNUI</definedName>
    <definedName name="OK" localSheetId="1">'１日（例）'!OK</definedName>
    <definedName name="OOOO" localSheetId="1">'１日（例）'!OOOO</definedName>
    <definedName name="ＱＱ" localSheetId="1">'１日（例）'!ＱＱ</definedName>
    <definedName name="ＱＱＱ" localSheetId="1">'１日（例）'!ＱＱＱ</definedName>
    <definedName name="ＳＳＳ" localSheetId="1">'１日（例）'!ＳＳＳ</definedName>
    <definedName name="SSSS" localSheetId="1">'１日（例）'!SSSS</definedName>
    <definedName name="SSSSSS" localSheetId="1">'１日（例）'!SSSSSS</definedName>
    <definedName name="TTTSSS" localSheetId="1">'１日（例）'!TTTSSS</definedName>
    <definedName name="TTTT" localSheetId="1">'１日（例）'!TTTT</definedName>
    <definedName name="wada" localSheetId="1">'１日（例）'!wada</definedName>
    <definedName name="ああ" localSheetId="1">'１日（例）'!ああ</definedName>
    <definedName name="あああああ" localSheetId="1">'１日（例）'!あああああ</definedName>
    <definedName name="いいい" localSheetId="1">'１日（例）'!いいい</definedName>
    <definedName name="ふＪ" localSheetId="1">'１日（例）'!ふＪ</definedName>
    <definedName name="レベル評価表" localSheetId="1">'１日（例）'!レベル評価表</definedName>
    <definedName name="教育" localSheetId="1">'１日（例）'!教育</definedName>
    <definedName name="現場工数削減" localSheetId="1">'１日（例）'!現場工数削減</definedName>
    <definedName name="甲管１" localSheetId="1">'１日（例）'!甲管１</definedName>
    <definedName name="重点項目１２月実績" localSheetId="1">'１日（例）'!重点項目１２月実績</definedName>
    <definedName name="総合" localSheetId="1">'１日（例）'!総合</definedName>
    <definedName name="鉄艤装業務分析スケジュール" localSheetId="1">'１日（例）'!鉄艤装業務分析スケジュール</definedName>
    <definedName name="予定" localSheetId="1">'１日（例）'!予定</definedName>
    <definedName name="良い" localSheetId="1">'１日（例）'!良い</definedName>
    <definedName name="_H14" localSheetId="2">'1週間（例）'!_H14</definedName>
    <definedName name="_H15" localSheetId="2">'1週間（例）'!_H15</definedName>
    <definedName name="_H16" localSheetId="2">'1週間（例）'!_H16</definedName>
    <definedName name="_H17" localSheetId="2">'1週間（例）'!_H17</definedName>
    <definedName name="_H18" localSheetId="2">'1週間（例）'!_H18</definedName>
    <definedName name="_H19" localSheetId="2">'1週間（例）'!_H19</definedName>
    <definedName name="_H20" localSheetId="2">'1週間（例）'!_H20</definedName>
    <definedName name="_H21" localSheetId="2">'1週間（例）'!_H21</definedName>
    <definedName name="_H22" localSheetId="2">'1週間（例）'!_H22</definedName>
    <definedName name="A" localSheetId="2">'1週間（例）'!A</definedName>
    <definedName name="AA" localSheetId="2">'1週間（例）'!AA</definedName>
    <definedName name="ＡＡＡ" localSheetId="2">'1週間（例）'!ＡＡＡ</definedName>
    <definedName name="AAAA" localSheetId="2">'1週間（例）'!AAAA</definedName>
    <definedName name="AAAAA" localSheetId="2">'1週間（例）'!AAAAA</definedName>
    <definedName name="AAAAAAAAAA" localSheetId="2">'1週間（例）'!AAAAAAAAAA</definedName>
    <definedName name="AAAAAAAAAAAAA" localSheetId="2">'1週間（例）'!AAAAAAAAAAAAA</definedName>
    <definedName name="ABC" localSheetId="2">'1週間（例）'!ABC</definedName>
    <definedName name="BB" localSheetId="2">'1週間（例）'!BB</definedName>
    <definedName name="BBBB" localSheetId="2">'1週間（例）'!BBBB</definedName>
    <definedName name="ＢＢＢＢＢ" localSheetId="2">'1週間（例）'!ＢＢＢＢＢ</definedName>
    <definedName name="BHYT" localSheetId="2">'1週間（例）'!BHYT</definedName>
    <definedName name="CC" localSheetId="2">'1週間（例）'!CC</definedName>
    <definedName name="CCCC" localSheetId="2">'1週間（例）'!CCCC</definedName>
    <definedName name="CCCCC" localSheetId="2">'1週間（例）'!CCCCC</definedName>
    <definedName name="ＤＤ" localSheetId="2">'1週間（例）'!ＤＤ</definedName>
    <definedName name="ＤＤＤ" localSheetId="2">'1週間（例）'!ＤＤＤ</definedName>
    <definedName name="ＤＤＤＤＤ" localSheetId="2">'1週間（例）'!ＤＤＤＤＤ</definedName>
    <definedName name="DDDDDDD" localSheetId="2">'1週間（例）'!DDDDDDD</definedName>
    <definedName name="EEEEE" localSheetId="2">'1週間（例）'!EEEEE</definedName>
    <definedName name="FF" localSheetId="2">'1週間（例）'!FF</definedName>
    <definedName name="FFF" localSheetId="2">'1週間（例）'!FFF</definedName>
    <definedName name="ＦＦＦＦ" localSheetId="2">'1週間（例）'!ＦＦＦＦ</definedName>
    <definedName name="FFFFF" localSheetId="2">'1週間（例）'!FFFFF</definedName>
    <definedName name="GEWWE" localSheetId="2">'1週間（例）'!GEWWE</definedName>
    <definedName name="GGGG" localSheetId="2">'1週間（例）'!GGGG</definedName>
    <definedName name="GGGGG" localSheetId="2">'1週間（例）'!GGGGG</definedName>
    <definedName name="GGTY" localSheetId="2">'1週間（例）'!GGTY</definedName>
    <definedName name="GGTY2" localSheetId="2">'1週間（例）'!GGTY2</definedName>
    <definedName name="GOSAKU" localSheetId="2">'1週間（例）'!GOSAKU</definedName>
    <definedName name="GRA" localSheetId="2">'1週間（例）'!GRA</definedName>
    <definedName name="Gさ" localSheetId="2">'1週間（例）'!Gさ</definedName>
    <definedName name="Ｇら" localSheetId="2">'1週間（例）'!Ｇら</definedName>
    <definedName name="H17誤作率" localSheetId="2">'1週間（例）'!H17誤作率</definedName>
    <definedName name="HH" localSheetId="2">'1週間（例）'!HH</definedName>
    <definedName name="HHH" localSheetId="2">'1週間（例）'!HHH</definedName>
    <definedName name="HHHHHHH" localSheetId="2">'1週間（例）'!HHHHHHH</definedName>
    <definedName name="HHHYU" localSheetId="2">'1週間（例）'!HHHYU</definedName>
    <definedName name="III" localSheetId="2">'1週間（例）'!III</definedName>
    <definedName name="ｊｊ" localSheetId="2">'1週間（例）'!ｊｊ</definedName>
    <definedName name="JJJ" localSheetId="2">'1週間（例）'!JJJ</definedName>
    <definedName name="JJJII" localSheetId="2">'1週間（例）'!JJJII</definedName>
    <definedName name="JUIO" localSheetId="2">'1週間（例）'!JUIO</definedName>
    <definedName name="JUIOI" localSheetId="2">'1週間（例）'!JUIOI</definedName>
    <definedName name="KI" localSheetId="2">'1週間（例）'!KI</definedName>
    <definedName name="KK" localSheetId="2">'1週間（例）'!KK</definedName>
    <definedName name="KKI" localSheetId="2">'1週間（例）'!KKI</definedName>
    <definedName name="Macro1" localSheetId="2">'1週間（例）'!Macro1</definedName>
    <definedName name="Macro2" localSheetId="2">'1週間（例）'!Macro2</definedName>
    <definedName name="MAM" localSheetId="2">'1週間（例）'!MAM</definedName>
    <definedName name="MAMIIN" localSheetId="2">'1週間（例）'!MAMIIN</definedName>
    <definedName name="MAMMM" localSheetId="2">'1週間（例）'!MAMMM</definedName>
    <definedName name="MATE" localSheetId="2">'1週間（例）'!MATE</definedName>
    <definedName name="MATES" localSheetId="2">'1週間（例）'!MATES</definedName>
    <definedName name="MATESA" localSheetId="2">'1週間（例）'!MATESA</definedName>
    <definedName name="MM" localSheetId="2">'1週間（例）'!MM</definedName>
    <definedName name="MMIIUUU" localSheetId="2">'1週間（例）'!MMIIUUU</definedName>
    <definedName name="MMM" localSheetId="2">'1週間（例）'!MMM</definedName>
    <definedName name="MMNNBBV" localSheetId="2">'1週間（例）'!MMNNBBV</definedName>
    <definedName name="NIK" localSheetId="2">'1週間（例）'!NIK</definedName>
    <definedName name="NN" localSheetId="2">'1週間（例）'!NN</definedName>
    <definedName name="NNA" localSheetId="2">'1週間（例）'!NNA</definedName>
    <definedName name="NNNIM" localSheetId="2">'1週間（例）'!NNNIM</definedName>
    <definedName name="NNUI" localSheetId="2">'1週間（例）'!NNUI</definedName>
    <definedName name="OK" localSheetId="2">'1週間（例）'!OK</definedName>
    <definedName name="OOOO" localSheetId="2">'1週間（例）'!OOOO</definedName>
    <definedName name="ＱＱ" localSheetId="2">'1週間（例）'!ＱＱ</definedName>
    <definedName name="ＱＱＱ" localSheetId="2">'1週間（例）'!ＱＱＱ</definedName>
    <definedName name="ＳＳＳ" localSheetId="2">'1週間（例）'!ＳＳＳ</definedName>
    <definedName name="SSSS" localSheetId="2">'1週間（例）'!SSSS</definedName>
    <definedName name="SSSSSS" localSheetId="2">'1週間（例）'!SSSSSS</definedName>
    <definedName name="TTTSSS" localSheetId="2">'1週間（例）'!TTTSSS</definedName>
    <definedName name="TTTT" localSheetId="2">'1週間（例）'!TTTT</definedName>
    <definedName name="wada" localSheetId="2">'1週間（例）'!wada</definedName>
    <definedName name="ああ" localSheetId="2">'1週間（例）'!ああ</definedName>
    <definedName name="あああああ" localSheetId="2">'1週間（例）'!あああああ</definedName>
    <definedName name="いいい" localSheetId="2">'1週間（例）'!いいい</definedName>
    <definedName name="ふＪ" localSheetId="2">'1週間（例）'!ふＪ</definedName>
    <definedName name="レベル評価表" localSheetId="2">'1週間（例）'!レベル評価表</definedName>
    <definedName name="教育" localSheetId="2">'1週間（例）'!教育</definedName>
    <definedName name="現場工数削減" localSheetId="2">'1週間（例）'!現場工数削減</definedName>
    <definedName name="甲管１" localSheetId="2">'1週間（例）'!甲管１</definedName>
    <definedName name="重点項目１２月実績" localSheetId="2">'1週間（例）'!重点項目１２月実績</definedName>
    <definedName name="総合" localSheetId="2">'1週間（例）'!総合</definedName>
    <definedName name="鉄艤装業務分析スケジュール" localSheetId="2">'1週間（例）'!鉄艤装業務分析スケジュール</definedName>
    <definedName name="予定" localSheetId="2">'1週間（例）'!予定</definedName>
    <definedName name="良い" localSheetId="2">'1週間（例）'!良い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7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ＭＳ Ｐゴシック"/>
      <charset val="128"/>
      <family val="3"/>
      <sz val="6"/>
    </font>
    <font>
      <name val="游ゴシック"/>
      <charset val="128"/>
      <family val="3"/>
      <color theme="1"/>
      <sz val="14"/>
      <scheme val="minor"/>
    </font>
    <font>
      <b val="1"/>
      <color rgb="00FFFFFF"/>
    </font>
    <font>
      <color rgb="00000000"/>
    </font>
    <font>
      <b val="1"/>
      <color rgb="00000000"/>
    </font>
  </fonts>
  <fills count="16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1AA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002F75B6"/>
        <bgColor rgb="002F75B6"/>
      </patternFill>
    </fill>
    <fill>
      <patternFill patternType="solid">
        <fgColor rgb="004472C4"/>
        <bgColor rgb="004472C4"/>
      </patternFill>
    </fill>
    <fill>
      <patternFill patternType="solid">
        <fgColor rgb="00E8F4FF"/>
        <bgColor rgb="00E8F4FF"/>
      </patternFill>
    </fill>
    <fill>
      <patternFill patternType="solid">
        <fgColor rgb="00FFE8E8"/>
        <bgColor rgb="00FFE8E8"/>
      </patternFill>
    </fill>
    <fill>
      <patternFill patternType="solid">
        <fgColor rgb="00FFB3B3"/>
        <bgColor rgb="00FFB3B3"/>
      </patternFill>
    </fill>
    <fill>
      <patternFill patternType="solid">
        <fgColor rgb="00B3D9FF"/>
        <bgColor rgb="00B3D9FF"/>
      </patternFill>
    </fill>
    <fill>
      <patternFill patternType="solid">
        <fgColor rgb="00FFFF99"/>
        <bgColor rgb="00FFFF99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/>
      <right/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31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 wrapText="1"/>
    </xf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/>
    </xf>
    <xf numFmtId="0" fontId="0" fillId="2" borderId="1" pivotButton="0" quotePrefix="0" xfId="0"/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/>
    </xf>
    <xf numFmtId="0" fontId="0" fillId="0" borderId="0" applyAlignment="1" pivotButton="0" quotePrefix="1" xfId="0">
      <alignment horizontal="center" vertical="center"/>
    </xf>
    <xf numFmtId="0" fontId="0" fillId="2" borderId="5" applyAlignment="1" pivotButton="0" quotePrefix="0" xfId="0">
      <alignment horizontal="center"/>
    </xf>
    <xf numFmtId="0" fontId="0" fillId="2" borderId="6" applyAlignment="1" pivotButton="0" quotePrefix="0" xfId="0">
      <alignment horizont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 wrapText="1"/>
    </xf>
    <xf numFmtId="0" fontId="0" fillId="0" borderId="1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7" borderId="1" pivotButton="0" quotePrefix="0" xfId="0"/>
    <xf numFmtId="0" fontId="0" fillId="2" borderId="13" pivotButton="0" quotePrefix="0" xfId="0"/>
    <xf numFmtId="0" fontId="0" fillId="2" borderId="14" pivotButton="0" quotePrefix="0" xfId="0"/>
    <xf numFmtId="0" fontId="0" fillId="2" borderId="15" applyAlignment="1" pivotButton="0" quotePrefix="0" xfId="0">
      <alignment horizontal="center"/>
    </xf>
    <xf numFmtId="0" fontId="0" fillId="6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4" pivotButton="0" quotePrefix="0" xfId="0"/>
    <xf numFmtId="0" fontId="3" fillId="0" borderId="0" pivotButton="0" quotePrefix="0" xfId="0"/>
    <xf numFmtId="0" fontId="3" fillId="0" borderId="16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164" fontId="3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0" fontId="0" fillId="0" borderId="22" pivotButton="0" quotePrefix="0" xfId="0"/>
    <xf numFmtId="0" fontId="0" fillId="0" borderId="14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19" pivotButton="0" quotePrefix="0" xfId="0"/>
    <xf numFmtId="0" fontId="0" fillId="0" borderId="20" pivotButton="0" quotePrefix="0" xfId="0"/>
    <xf numFmtId="164" fontId="3" fillId="0" borderId="0" applyAlignment="1" pivotButton="0" quotePrefix="0" xfId="0">
      <alignment horizontal="center"/>
    </xf>
    <xf numFmtId="0" fontId="4" fillId="9" borderId="31" applyAlignment="1" pivotButton="0" quotePrefix="0" xfId="0">
      <alignment horizontal="center" vertical="center" wrapText="1"/>
    </xf>
    <xf numFmtId="0" fontId="4" fillId="10" borderId="31" applyAlignment="1" pivotButton="0" quotePrefix="0" xfId="0">
      <alignment horizontal="center" vertical="center" wrapText="1"/>
    </xf>
    <xf numFmtId="0" fontId="5" fillId="11" borderId="31" applyAlignment="1" pivotButton="0" quotePrefix="0" xfId="0">
      <alignment horizontal="left" vertical="center" wrapText="1"/>
    </xf>
    <xf numFmtId="0" fontId="5" fillId="11" borderId="31" applyAlignment="1" pivotButton="0" quotePrefix="0" xfId="0">
      <alignment horizontal="center" vertical="center" wrapText="1"/>
    </xf>
    <xf numFmtId="0" fontId="5" fillId="12" borderId="31" applyAlignment="1" pivotButton="0" quotePrefix="0" xfId="0">
      <alignment horizontal="left" vertical="center" wrapText="1"/>
    </xf>
    <xf numFmtId="0" fontId="5" fillId="12" borderId="31" applyAlignment="1" pivotButton="0" quotePrefix="0" xfId="0">
      <alignment horizontal="center" vertical="center" wrapText="1"/>
    </xf>
    <xf numFmtId="0" fontId="0" fillId="13" borderId="31" pivotButton="0" quotePrefix="0" xfId="0"/>
    <xf numFmtId="0" fontId="6" fillId="13" borderId="31" applyAlignment="1" pivotButton="0" quotePrefix="0" xfId="0">
      <alignment horizontal="center" vertical="center" wrapText="1"/>
    </xf>
    <xf numFmtId="0" fontId="0" fillId="14" borderId="31" pivotButton="0" quotePrefix="0" xfId="0"/>
    <xf numFmtId="0" fontId="6" fillId="14" borderId="31" applyAlignment="1" pivotButton="0" quotePrefix="0" xfId="0">
      <alignment horizontal="center" vertical="center" wrapText="1"/>
    </xf>
    <xf numFmtId="0" fontId="0" fillId="15" borderId="31" pivotButton="0" quotePrefix="0" xfId="0"/>
    <xf numFmtId="0" fontId="6" fillId="15" borderId="31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externalLink" Target="/xl/externalLinks/externalLink1.xml" Id="rId5" /><Relationship Type="http://schemas.openxmlformats.org/officeDocument/2006/relationships/externalLink" Target="/xl/externalLinks/externalLink2.xml" Id="rId6" /><Relationship Type="http://schemas.openxmlformats.org/officeDocument/2006/relationships/externalLink" Target="/xl/externalLinks/externalLink3.xml" Id="rId7" /><Relationship Type="http://schemas.openxmlformats.org/officeDocument/2006/relationships/externalLink" Target="/xl/externalLinks/externalLink4.xml" Id="rId8" /><Relationship Type="http://schemas.openxmlformats.org/officeDocument/2006/relationships/externalLink" Target="/xl/externalLinks/externalLink5.xml" Id="rId9" /><Relationship Type="http://schemas.openxmlformats.org/officeDocument/2006/relationships/externalLink" Target="/xl/externalLinks/externalLink6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フォーマット!$K$3:$K$5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フォーマット!$L$3:$L$5</f>
              <numCache>
                <formatCode>General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  <pt idx="12">
                    <v>月</v>
                  </pt>
                  <pt idx="13">
                    <v>月</v>
                  </pt>
                  <pt idx="14">
                    <v>月</v>
                  </pt>
                  <pt idx="15">
                    <v>月</v>
                  </pt>
                  <pt idx="16">
                    <v>月</v>
                  </pt>
                  <pt idx="17">
                    <v>月</v>
                  </pt>
                  <pt idx="18">
                    <v>月</v>
                  </pt>
                  <pt idx="19">
                    <v>月</v>
                  </pt>
                  <pt idx="20">
                    <v>月</v>
                  </pt>
                  <pt idx="21">
                    <v>月</v>
                  </pt>
                  <pt idx="22">
                    <v>月</v>
                  </pt>
                  <pt idx="23">
                    <v>月</v>
                  </pt>
                  <pt idx="24">
                    <v>月</v>
                  </pt>
                  <pt idx="25">
                    <v>月</v>
                  </pt>
                  <pt idx="26">
                    <v>月</v>
                  </pt>
                  <pt idx="27">
                    <v>月</v>
                  </pt>
                  <pt idx="28">
                    <v>月</v>
                  </pt>
                  <pt idx="29">
                    <v>月</v>
                  </pt>
                  <pt idx="30">
                    <v>月</v>
                  </pt>
                  <pt idx="31">
                    <v>月</v>
                  </pt>
                  <pt idx="32">
                    <v>月</v>
                  </pt>
                  <pt idx="33">
                    <v>月</v>
                  </pt>
                  <pt idx="34">
                    <v>月</v>
                  </pt>
                  <pt idx="35">
                    <v>月</v>
                  </pt>
                  <pt idx="36">
                    <v>月</v>
                  </pt>
                  <pt idx="37">
                    <v>月</v>
                  </pt>
                  <pt idx="38">
                    <v>月</v>
                  </pt>
                  <pt idx="39">
                    <v>月</v>
                  </pt>
                  <pt idx="40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  <pt idx="12">
                    <v>/</v>
                  </pt>
                  <pt idx="13">
                    <v>/</v>
                  </pt>
                  <pt idx="14">
                    <v>/</v>
                  </pt>
                  <pt idx="15">
                    <v>/</v>
                  </pt>
                  <pt idx="16">
                    <v>/</v>
                  </pt>
                  <pt idx="17">
                    <v>/</v>
                  </pt>
                  <pt idx="18">
                    <v>/</v>
                  </pt>
                  <pt idx="19">
                    <v>/</v>
                  </pt>
                  <pt idx="20">
                    <v>/</v>
                  </pt>
                  <pt idx="21">
                    <v>/</v>
                  </pt>
                  <pt idx="22">
                    <v>/</v>
                  </pt>
                  <pt idx="23">
                    <v>/</v>
                  </pt>
                  <pt idx="24">
                    <v>/</v>
                  </pt>
                  <pt idx="25">
                    <v>/</v>
                  </pt>
                  <pt idx="26">
                    <v>/</v>
                  </pt>
                  <pt idx="27">
                    <v>/</v>
                  </pt>
                  <pt idx="28">
                    <v>/</v>
                  </pt>
                  <pt idx="29">
                    <v>/</v>
                  </pt>
                  <pt idx="30">
                    <v>/</v>
                  </pt>
                  <pt idx="31">
                    <v>/</v>
                  </pt>
                  <pt idx="32">
                    <v>/</v>
                  </pt>
                  <pt idx="33">
                    <v>/</v>
                  </pt>
                  <pt idx="34">
                    <v>/</v>
                  </pt>
                  <pt idx="35">
                    <v>/</v>
                  </pt>
                  <pt idx="36">
                    <v>/</v>
                  </pt>
                  <pt idx="37">
                    <v>/</v>
                  </pt>
                  <pt idx="38">
                    <v>/</v>
                  </pt>
                  <pt idx="39">
                    <v>/</v>
                  </pt>
                  <pt idx="40">
                    <v>/</v>
                  </pt>
                </lvl>
              </multiLvlStrCache>
              <f>フォーマット!$D$3:$G$43</f>
            </multiLvlStrRef>
          </cat>
          <val>
            <numRef>
              <f>フォーマット!$H$3:$H$43</f>
              <numCache>
                <formatCode>General</formatCode>
                <ptCount val="4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/>
          </a:r>
          <a:endParaRPr lang="ja-JP"/>
        </a:p>
      </txPr>
    </legend>
    <plotVisOnly val="1"/>
    <dispBlanksAs val="zero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'１日（例）'!$K$15:$K$17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'１日（例）'!$L$15:$L$17</f>
              <numCache>
                <formatCode>General</formatCode>
                <ptCount val="3"/>
                <pt idx="0">
                  <v>1.61</v>
                </pt>
                <pt idx="1">
                  <v>5.48</v>
                </pt>
                <pt idx="2">
                  <v>2.52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</lvl>
                <lvl>
                  <pt idx="0">
                    <v>0.75</v>
                  </pt>
                  <pt idx="1">
                    <v>0.86</v>
                  </pt>
                  <pt idx="2">
                    <v>0.16</v>
                  </pt>
                  <pt idx="3">
                    <v>4.76</v>
                  </pt>
                  <pt idx="4">
                    <v>0.08</v>
                  </pt>
                  <pt idx="5">
                    <v>0.16</v>
                  </pt>
                  <pt idx="6">
                    <v>0.16</v>
                  </pt>
                  <pt idx="7">
                    <v>0.08</v>
                  </pt>
                  <pt idx="8">
                    <v>0.08</v>
                  </pt>
                  <pt idx="9">
                    <v>0.26</v>
                  </pt>
                  <pt idx="10">
                    <v>1.95</v>
                  </pt>
                  <pt idx="11">
                    <v>0.31</v>
                  </pt>
                </lvl>
                <lvl>
                  <pt idx="0">
                    <v>品質確認</v>
                  </pt>
                  <pt idx="1">
                    <v>手直し</v>
                  </pt>
                  <pt idx="2">
                    <v>朝礼ラジオ体操挨拶</v>
                  </pt>
                  <pt idx="3">
                    <v>現場（作業）</v>
                  </pt>
                  <pt idx="4">
                    <v>トイレ掃除</v>
                  </pt>
                  <pt idx="5">
                    <v>残業確認</v>
                  </pt>
                  <pt idx="6">
                    <v>資料まとめ</v>
                  </pt>
                  <pt idx="7">
                    <v>回覧チェック</v>
                  </pt>
                  <pt idx="8">
                    <v>メールチェック</v>
                  </pt>
                  <pt idx="9">
                    <v>生産表</v>
                  </pt>
                  <pt idx="10">
                    <v>標準作業書</v>
                  </pt>
                  <pt idx="11">
                    <v>治具出し</v>
                  </pt>
                </lvl>
              </multiLvlStrCache>
              <f>'１日（例）'!$D$3:$G$43</f>
            </multiLvlStrRef>
          </cat>
          <val>
            <numRef>
              <f>'１日（例）'!$H$3:$H$43</f>
              <numCache>
                <formatCode>General</formatCode>
                <ptCount val="12"/>
                <pt idx="0">
                  <v>0.75</v>
                </pt>
                <pt idx="1">
                  <v>0.86</v>
                </pt>
                <pt idx="2">
                  <v>0.16</v>
                </pt>
                <pt idx="3">
                  <v>4.76</v>
                </pt>
                <pt idx="4">
                  <v>0.08</v>
                </pt>
                <pt idx="5">
                  <v>0.16</v>
                </pt>
                <pt idx="6">
                  <v>0.16</v>
                </pt>
                <pt idx="7">
                  <v>0.08</v>
                </pt>
                <pt idx="8">
                  <v>0.08</v>
                </pt>
                <pt idx="9">
                  <v>0.26</v>
                </pt>
                <pt idx="10">
                  <v>1.95</v>
                </pt>
                <pt idx="11">
                  <v>0.31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/>
          </a:r>
          <a:endParaRPr lang="ja-JP"/>
        </a:p>
      </txPr>
    </legend>
    <plotVisOnly val="1"/>
    <dispBlanksAs val="zero"/>
  </chart>
</chartSpace>
</file>

<file path=xl/charts/chart5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'1週間（例）'!$K$15:$K$17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'1週間（例）'!$L$15:$L$17</f>
              <numCache>
                <formatCode>General</formatCode>
                <ptCount val="3"/>
                <pt idx="0">
                  <v>5.96</v>
                </pt>
                <pt idx="1">
                  <v>21.38</v>
                </pt>
                <pt idx="2">
                  <v>22.48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  <pt idx="12">
                    <v>月</v>
                  </pt>
                  <pt idx="13">
                    <v>月</v>
                  </pt>
                  <pt idx="14">
                    <v>月</v>
                  </pt>
                  <pt idx="15">
                    <v>月</v>
                  </pt>
                  <pt idx="16">
                    <v>月</v>
                  </pt>
                  <pt idx="17">
                    <v>月</v>
                  </pt>
                  <pt idx="18">
                    <v>月</v>
                  </pt>
                  <pt idx="19">
                    <v>月</v>
                  </pt>
                  <pt idx="20">
                    <v>月</v>
                  </pt>
                  <pt idx="21">
                    <v>月</v>
                  </pt>
                  <pt idx="22">
                    <v>月</v>
                  </pt>
                  <pt idx="23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  <pt idx="12">
                    <v>/</v>
                  </pt>
                  <pt idx="13">
                    <v>/</v>
                  </pt>
                  <pt idx="14">
                    <v>/</v>
                  </pt>
                  <pt idx="15">
                    <v>/</v>
                  </pt>
                  <pt idx="16">
                    <v>/</v>
                  </pt>
                  <pt idx="17">
                    <v>/</v>
                  </pt>
                  <pt idx="18">
                    <v>/</v>
                  </pt>
                  <pt idx="19">
                    <v>/</v>
                  </pt>
                  <pt idx="20">
                    <v>/</v>
                  </pt>
                  <pt idx="21">
                    <v>/</v>
                  </pt>
                  <pt idx="22">
                    <v>/</v>
                  </pt>
                  <pt idx="23">
                    <v>/</v>
                  </pt>
                </lvl>
                <lvl>
                  <pt idx="0">
                    <v>4.25</v>
                  </pt>
                  <pt idx="1">
                    <v>1.71</v>
                  </pt>
                  <pt idx="2">
                    <v>0.59</v>
                  </pt>
                  <pt idx="3">
                    <v>1</v>
                  </pt>
                  <pt idx="4">
                    <v>0.12</v>
                  </pt>
                  <pt idx="5">
                    <v>0.45</v>
                  </pt>
                  <pt idx="6">
                    <v>1.55</v>
                  </pt>
                  <pt idx="7">
                    <v>14.9</v>
                  </pt>
                  <pt idx="8">
                    <v>0.29</v>
                  </pt>
                  <pt idx="9">
                    <v>0.22</v>
                  </pt>
                  <pt idx="10">
                    <v>0.8</v>
                  </pt>
                  <pt idx="11">
                    <v>0.4</v>
                  </pt>
                  <pt idx="12">
                    <v>0.95</v>
                  </pt>
                  <pt idx="13">
                    <v>0.03</v>
                  </pt>
                  <pt idx="14">
                    <v>0.08</v>
                  </pt>
                  <pt idx="15">
                    <v>0.79</v>
                  </pt>
                  <pt idx="16">
                    <v>1.83</v>
                  </pt>
                  <pt idx="17">
                    <v>3.34</v>
                  </pt>
                  <pt idx="18">
                    <v>12.3</v>
                  </pt>
                  <pt idx="19">
                    <v>2.32</v>
                  </pt>
                  <pt idx="20">
                    <v>1</v>
                  </pt>
                  <pt idx="21">
                    <v>0.06</v>
                  </pt>
                  <pt idx="22">
                    <v>0.53</v>
                  </pt>
                  <pt idx="23">
                    <v>0.31</v>
                  </pt>
                </lvl>
                <lvl>
                  <pt idx="0">
                    <v>品質確認</v>
                  </pt>
                  <pt idx="1">
                    <v>手直し</v>
                  </pt>
                  <pt idx="2">
                    <v>ラジオ体操挨拶</v>
                  </pt>
                  <pt idx="3">
                    <v>研修報告書</v>
                  </pt>
                  <pt idx="4">
                    <v>昼礼</v>
                  </pt>
                  <pt idx="5">
                    <v>5分掃除　トイレ掃除</v>
                  </pt>
                  <pt idx="6">
                    <v>残業確認</v>
                  </pt>
                  <pt idx="7">
                    <v>現場（作業）</v>
                  </pt>
                  <pt idx="8">
                    <v>メール確認</v>
                  </pt>
                  <pt idx="9">
                    <v>図面差し替え</v>
                  </pt>
                  <pt idx="10">
                    <v>資料まとめ</v>
                  </pt>
                  <pt idx="11">
                    <v>製品打ち合わせ</v>
                  </pt>
                  <pt idx="12">
                    <v>作業準備（高校生）</v>
                  </pt>
                  <pt idx="13">
                    <v>設備説明</v>
                  </pt>
                  <pt idx="14">
                    <v>回覧チェック</v>
                  </pt>
                  <pt idx="15">
                    <v>検査表チェック</v>
                  </pt>
                  <pt idx="16">
                    <v>工程確認</v>
                  </pt>
                  <pt idx="17">
                    <v>現場（教育）</v>
                  </pt>
                  <pt idx="18">
                    <v>標準作業書</v>
                  </pt>
                  <pt idx="19">
                    <v>生産確認・フォーマット</v>
                  </pt>
                  <pt idx="20">
                    <v>フォーマット打ち合わせ</v>
                  </pt>
                  <pt idx="21">
                    <v>検査表作成</v>
                  </pt>
                  <pt idx="22">
                    <v>現場（高校生）</v>
                  </pt>
                  <pt idx="23">
                    <v>治具出し</v>
                  </pt>
                </lvl>
              </multiLvlStrCache>
              <f>'1週間（例）'!$D$3:$G$43</f>
            </multiLvlStrRef>
          </cat>
          <val>
            <numRef>
              <f>'1週間（例）'!$H$3:$H$43</f>
              <numCache>
                <formatCode>General</formatCode>
                <ptCount val="24"/>
                <pt idx="0">
                  <v>4.25</v>
                </pt>
                <pt idx="1">
                  <v>1.71</v>
                </pt>
                <pt idx="2">
                  <v>0.59</v>
                </pt>
                <pt idx="3">
                  <v>1</v>
                </pt>
                <pt idx="4">
                  <v>0.12</v>
                </pt>
                <pt idx="5">
                  <v>0.45</v>
                </pt>
                <pt idx="6">
                  <v>1.55</v>
                </pt>
                <pt idx="7">
                  <v>14.9</v>
                </pt>
                <pt idx="8">
                  <v>0.29</v>
                </pt>
                <pt idx="9">
                  <v>0.22</v>
                </pt>
                <pt idx="10">
                  <v>0.8</v>
                </pt>
                <pt idx="11">
                  <v>0.4</v>
                </pt>
                <pt idx="12">
                  <v>0.95</v>
                </pt>
                <pt idx="13">
                  <v>0.03</v>
                </pt>
                <pt idx="14">
                  <v>0.08</v>
                </pt>
                <pt idx="15">
                  <v>0.79</v>
                </pt>
                <pt idx="16">
                  <v>1.83</v>
                </pt>
                <pt idx="17">
                  <v>3.34</v>
                </pt>
                <pt idx="18">
                  <v>12.3</v>
                </pt>
                <pt idx="19">
                  <v>2.32</v>
                </pt>
                <pt idx="20">
                  <v>1</v>
                </pt>
                <pt idx="21">
                  <v>0.06</v>
                </pt>
                <pt idx="22">
                  <v>0.53</v>
                </pt>
                <pt idx="23">
                  <v>0.31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/>
          </a:r>
          <a:endParaRPr lang="ja-JP"/>
        </a:p>
      </txPr>
    </legend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488950</colOff>
      <row>7</row>
      <rowOff>168564</rowOff>
    </from>
    <to>
      <col>16</col>
      <colOff>443346</colOff>
      <row>42</row>
      <rowOff>158461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555830</colOff>
      <row>7</row>
      <rowOff>181262</rowOff>
    </from>
    <to>
      <col>30</col>
      <colOff>583046</colOff>
      <row>55</row>
      <rowOff>211282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85436</colOff>
      <row>19</row>
      <rowOff>132196</rowOff>
    </from>
    <to>
      <col>16</col>
      <colOff>39832</colOff>
      <row>72</row>
      <rowOff>131618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152316</colOff>
      <row>19</row>
      <rowOff>144894</rowOff>
    </from>
    <to>
      <col>30</col>
      <colOff>179532</colOff>
      <row>86</row>
      <rowOff>149802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128979</colOff>
      <row>19</row>
      <rowOff>96817</rowOff>
    </from>
    <to>
      <col>16</col>
      <colOff>83375</colOff>
      <row>60</row>
      <rowOff>127535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195859</colOff>
      <row>19</row>
      <rowOff>109515</rowOff>
    </from>
    <to>
      <col>30</col>
      <colOff>223075</colOff>
      <row>74</row>
      <rowOff>145719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 t="str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 t="str"/>
        </row>
        <row r="23">
          <cell r="I23" t="str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 t="str"/>
          <cell r="L2" t="str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 t="str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 t="str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U47"/>
  <sheetViews>
    <sheetView tabSelected="1" zoomScale="55" zoomScaleNormal="55" workbookViewId="0">
      <selection activeCell="X4" sqref="X4"/>
    </sheetView>
  </sheetViews>
  <sheetFormatPr baseColWidth="8" defaultColWidth="8.875" defaultRowHeight="18.75"/>
  <cols>
    <col width="13.375" customWidth="1" min="1" max="1"/>
    <col width="17.875" customWidth="1" min="2" max="2"/>
    <col width="14.625" customWidth="1" min="3" max="3"/>
    <col width="35" customWidth="1" min="4" max="4"/>
    <col width="6.125" customWidth="1" min="5" max="5"/>
    <col width="2.125" customWidth="1" min="6" max="6"/>
    <col width="5.5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1">
      <c r="E1" s="1" t="n"/>
      <c r="F1" s="1" t="n"/>
      <c r="G1" s="1" t="n"/>
      <c r="R1" s="1" t="n"/>
      <c r="S1" s="1" t="n"/>
      <c r="T1" s="1" t="n"/>
    </row>
    <row r="2" ht="57" customHeight="1" thickBot="1">
      <c r="C2" s="2" t="n"/>
      <c r="D2" s="3" t="inlineStr">
        <is>
          <t>業務内容</t>
        </is>
      </c>
      <c r="E2" s="4" t="inlineStr">
        <is>
          <t>業務
時間
（h）</t>
        </is>
      </c>
      <c r="F2" s="5" t="inlineStr">
        <is>
          <t>/</t>
        </is>
      </c>
      <c r="G2" s="6" t="inlineStr">
        <is>
          <t>単位</t>
        </is>
      </c>
      <c r="H2" s="7" t="inlineStr">
        <is>
          <t>１ヵ月あたりの時間
(h）</t>
        </is>
      </c>
      <c r="I2" s="8" t="n"/>
      <c r="R2" s="1" t="n"/>
      <c r="S2" s="1" t="n"/>
      <c r="T2" s="1" t="n"/>
    </row>
    <row r="3" ht="19.5" customHeight="1" thickBot="1">
      <c r="B3" s="40" t="inlineStr">
        <is>
          <t>削減可能業務</t>
        </is>
      </c>
      <c r="C3" s="9" t="inlineStr">
        <is>
          <t>非定常業務</t>
        </is>
      </c>
      <c r="D3" s="10" t="n"/>
      <c r="E3" s="11" t="n"/>
      <c r="F3" s="12" t="inlineStr">
        <is>
          <t>/</t>
        </is>
      </c>
      <c r="G3" s="13" t="inlineStr">
        <is>
          <t>月</t>
        </is>
      </c>
      <c r="H3" s="41">
        <f>I3*E3</f>
        <v/>
      </c>
      <c r="I3" s="15">
        <f>IF(G3="月",$R$4,IF(G3="週",$S$4,$T$4))</f>
        <v/>
      </c>
      <c r="K3" s="20" t="inlineStr">
        <is>
          <t>削減可能業務</t>
        </is>
      </c>
      <c r="L3">
        <f>SUM(H3:H14)</f>
        <v/>
      </c>
      <c r="R3" s="44" t="inlineStr">
        <is>
          <t>掛け数</t>
        </is>
      </c>
      <c r="S3" s="51" t="n"/>
      <c r="T3" s="52" t="n"/>
    </row>
    <row r="4" ht="19.5" customHeight="1" thickBot="1">
      <c r="B4" s="53" t="n"/>
      <c r="C4" s="9" t="inlineStr">
        <is>
          <t>非定常業務</t>
        </is>
      </c>
      <c r="D4" s="10" t="n"/>
      <c r="E4" s="11" t="n"/>
      <c r="F4" s="12" t="inlineStr">
        <is>
          <t>/</t>
        </is>
      </c>
      <c r="G4" s="13" t="inlineStr">
        <is>
          <t>月</t>
        </is>
      </c>
      <c r="H4" s="41">
        <f>I4*E4</f>
        <v/>
      </c>
      <c r="I4" s="15">
        <f>IF(G4="月",$R$4,IF(G4="週",$S$4,$T$4))</f>
        <v/>
      </c>
      <c r="K4" s="21" t="inlineStr">
        <is>
          <t xml:space="preserve">付帯業務　</t>
        </is>
      </c>
      <c r="L4">
        <f>SUM(H15:H30)</f>
        <v/>
      </c>
      <c r="R4" s="22" t="n">
        <v>1</v>
      </c>
      <c r="S4" s="23" t="n">
        <v>4</v>
      </c>
      <c r="T4" s="24" t="n">
        <v>20</v>
      </c>
    </row>
    <row r="5">
      <c r="B5" s="53" t="n"/>
      <c r="C5" s="9" t="inlineStr">
        <is>
          <t>非定常業務</t>
        </is>
      </c>
      <c r="D5" s="10" t="n"/>
      <c r="E5" s="11" t="n"/>
      <c r="F5" s="12" t="inlineStr">
        <is>
          <t>/</t>
        </is>
      </c>
      <c r="G5" s="13" t="inlineStr">
        <is>
          <t>月</t>
        </is>
      </c>
      <c r="H5" s="41">
        <f>I5*E5</f>
        <v/>
      </c>
      <c r="I5" s="15">
        <f>IF(G5="月",$R$4,IF(G5="週",$S$4,$T$4))</f>
        <v/>
      </c>
      <c r="K5" s="25">
        <f>C31</f>
        <v/>
      </c>
      <c r="L5">
        <f>SUM(H31:H41)</f>
        <v/>
      </c>
      <c r="R5" s="1" t="n"/>
      <c r="S5" s="1" t="n"/>
      <c r="T5" s="1" t="n"/>
    </row>
    <row r="6">
      <c r="B6" s="53" t="n"/>
      <c r="C6" s="9" t="inlineStr">
        <is>
          <t>非定常業務</t>
        </is>
      </c>
      <c r="D6" s="10" t="n"/>
      <c r="E6" s="11" t="n"/>
      <c r="F6" s="12" t="inlineStr">
        <is>
          <t>/</t>
        </is>
      </c>
      <c r="G6" s="13" t="inlineStr">
        <is>
          <t>月</t>
        </is>
      </c>
      <c r="H6" s="41">
        <f>I6*E6</f>
        <v/>
      </c>
      <c r="I6" s="15">
        <f>IF(G6="月",$R$4,IF(G6="週",$S$4,$T$4))</f>
        <v/>
      </c>
      <c r="R6" t="inlineStr">
        <is>
          <t>毎日×20　⇒　１ヵ月あたり</t>
        </is>
      </c>
      <c r="S6" s="1" t="n"/>
      <c r="T6" s="1" t="n"/>
    </row>
    <row r="7">
      <c r="B7" s="53" t="n"/>
      <c r="C7" s="9" t="inlineStr">
        <is>
          <t>非定常業務</t>
        </is>
      </c>
      <c r="D7" s="10" t="n"/>
      <c r="E7" s="11" t="n"/>
      <c r="F7" s="12" t="inlineStr">
        <is>
          <t>/</t>
        </is>
      </c>
      <c r="G7" s="13" t="inlineStr">
        <is>
          <t>月</t>
        </is>
      </c>
      <c r="H7" s="41">
        <f>I7*E7</f>
        <v/>
      </c>
      <c r="I7" s="15">
        <f>IF(G7="月",$R$4,IF(G7="週",$S$4,$T$4))</f>
        <v/>
      </c>
      <c r="R7" t="inlineStr">
        <is>
          <t>１週間あたりk×4  ⇒　１ヵ月あたり</t>
        </is>
      </c>
      <c r="S7" s="1" t="n"/>
      <c r="T7" s="1" t="n"/>
    </row>
    <row r="8">
      <c r="B8" s="53" t="n"/>
      <c r="C8" s="9" t="inlineStr">
        <is>
          <t>非定常業務</t>
        </is>
      </c>
      <c r="D8" s="10" t="n"/>
      <c r="E8" s="11" t="n"/>
      <c r="F8" s="12" t="inlineStr">
        <is>
          <t>/</t>
        </is>
      </c>
      <c r="G8" s="13" t="inlineStr">
        <is>
          <t>月</t>
        </is>
      </c>
      <c r="H8" s="41">
        <f>I8*E8</f>
        <v/>
      </c>
      <c r="I8" s="15">
        <f>IF(G8="月",$R$4,IF(G8="週",$S$4,$T$4))</f>
        <v/>
      </c>
      <c r="R8" s="1" t="n"/>
      <c r="S8" s="1" t="n"/>
      <c r="T8" s="1" t="n"/>
    </row>
    <row r="9">
      <c r="B9" s="53" t="n"/>
      <c r="C9" s="9" t="inlineStr">
        <is>
          <t>非定常業務</t>
        </is>
      </c>
      <c r="D9" s="10" t="n"/>
      <c r="E9" s="11" t="n"/>
      <c r="F9" s="12" t="inlineStr">
        <is>
          <t>/</t>
        </is>
      </c>
      <c r="G9" s="13" t="inlineStr">
        <is>
          <t>月</t>
        </is>
      </c>
      <c r="H9" s="41">
        <f>I9*E9</f>
        <v/>
      </c>
      <c r="I9" s="15">
        <f>IF(G9="月",$R$4,IF(G9="週",$S$4,$T$4))</f>
        <v/>
      </c>
      <c r="R9" s="1" t="n"/>
      <c r="S9" s="1" t="n"/>
      <c r="T9" s="1" t="n"/>
    </row>
    <row r="10">
      <c r="B10" s="53" t="n"/>
      <c r="C10" s="9" t="inlineStr">
        <is>
          <t>非定常業務</t>
        </is>
      </c>
      <c r="D10" s="10" t="n"/>
      <c r="E10" s="16" t="n"/>
      <c r="F10" s="17" t="inlineStr">
        <is>
          <t>/</t>
        </is>
      </c>
      <c r="G10" s="13" t="inlineStr">
        <is>
          <t>月</t>
        </is>
      </c>
      <c r="H10" s="41">
        <f>I10*E10</f>
        <v/>
      </c>
      <c r="I10" s="15">
        <f>IF(G10="月",$R$4,IF(G10="週",$S$4,$T$4))</f>
        <v/>
      </c>
      <c r="R10" s="1" t="n"/>
      <c r="S10" s="1" t="n"/>
      <c r="T10" s="1" t="n"/>
    </row>
    <row r="11">
      <c r="B11" s="53" t="n"/>
      <c r="C11" s="9" t="inlineStr">
        <is>
          <t>非定常業務</t>
        </is>
      </c>
      <c r="D11" s="10" t="n"/>
      <c r="E11" s="11" t="n"/>
      <c r="F11" s="12" t="inlineStr">
        <is>
          <t>/</t>
        </is>
      </c>
      <c r="G11" s="13" t="inlineStr">
        <is>
          <t>月</t>
        </is>
      </c>
      <c r="H11" s="41">
        <f>I11*E11</f>
        <v/>
      </c>
      <c r="I11" s="15">
        <f>IF(G11="月",$R$4,IF(G11="週",$S$4,$T$4))</f>
        <v/>
      </c>
      <c r="R11" s="1" t="n"/>
      <c r="S11" s="1" t="n"/>
      <c r="T11" s="1" t="n"/>
    </row>
    <row r="12">
      <c r="B12" s="53" t="n"/>
      <c r="C12" s="9" t="inlineStr">
        <is>
          <t>非定常業務</t>
        </is>
      </c>
      <c r="D12" s="10" t="n"/>
      <c r="E12" s="11" t="n"/>
      <c r="F12" s="12" t="inlineStr">
        <is>
          <t>/</t>
        </is>
      </c>
      <c r="G12" s="13" t="inlineStr">
        <is>
          <t>月</t>
        </is>
      </c>
      <c r="H12" s="41">
        <f>I12*E12</f>
        <v/>
      </c>
      <c r="I12" s="15">
        <f>IF(G12="月",$R$4,IF(G12="週",$S$4,$T$4))</f>
        <v/>
      </c>
      <c r="R12" s="1" t="n"/>
      <c r="S12" s="1" t="n"/>
      <c r="T12" s="1" t="n"/>
    </row>
    <row r="13">
      <c r="B13" s="53" t="n"/>
      <c r="C13" s="9" t="inlineStr">
        <is>
          <t>非定常業務</t>
        </is>
      </c>
      <c r="D13" s="10" t="n"/>
      <c r="E13" s="11" t="n"/>
      <c r="F13" s="12" t="inlineStr">
        <is>
          <t>/</t>
        </is>
      </c>
      <c r="G13" s="13" t="inlineStr">
        <is>
          <t>月</t>
        </is>
      </c>
      <c r="H13" s="41">
        <f>I13*E13</f>
        <v/>
      </c>
      <c r="I13" s="15">
        <f>IF(G13="月",$R$4,IF(G13="週",$S$4,$T$4))</f>
        <v/>
      </c>
      <c r="R13" s="1" t="n"/>
      <c r="S13" s="1" t="n"/>
      <c r="T13" s="1" t="n"/>
    </row>
    <row r="14">
      <c r="B14" s="54" t="n"/>
      <c r="C14" s="9" t="n"/>
      <c r="D14" s="10" t="n"/>
      <c r="E14" s="11" t="n"/>
      <c r="F14" s="12" t="inlineStr">
        <is>
          <t>/</t>
        </is>
      </c>
      <c r="G14" s="13" t="inlineStr">
        <is>
          <t>月</t>
        </is>
      </c>
      <c r="H14" s="41">
        <f>I14*E14</f>
        <v/>
      </c>
      <c r="I14" s="15">
        <f>IF(G14="月",$R$4,IF(G14="週",$S$4,$T$4))</f>
        <v/>
      </c>
      <c r="R14" s="1" t="n"/>
      <c r="S14" s="1" t="n"/>
      <c r="T14" s="1" t="n"/>
    </row>
    <row r="15">
      <c r="B15" s="42" t="inlineStr">
        <is>
          <t>付帯業務
ノンコア業務</t>
        </is>
      </c>
      <c r="C15" s="18" t="inlineStr">
        <is>
          <t>主要外業務</t>
        </is>
      </c>
      <c r="D15" s="10" t="n"/>
      <c r="E15" s="11" t="n"/>
      <c r="F15" s="12" t="inlineStr">
        <is>
          <t>/</t>
        </is>
      </c>
      <c r="G15" s="13" t="inlineStr">
        <is>
          <t>月</t>
        </is>
      </c>
      <c r="H15" s="43">
        <f>I15*E15</f>
        <v/>
      </c>
      <c r="I15" s="15">
        <f>IF(G15="月",$R$4,IF(G15="週",$S$4,$T$4))</f>
        <v/>
      </c>
    </row>
    <row r="16">
      <c r="B16" s="53" t="n"/>
      <c r="C16" s="18" t="inlineStr">
        <is>
          <t>主要外業務</t>
        </is>
      </c>
      <c r="D16" s="10" t="n"/>
      <c r="E16" s="11" t="n"/>
      <c r="F16" s="12" t="inlineStr">
        <is>
          <t>/</t>
        </is>
      </c>
      <c r="G16" s="13" t="inlineStr">
        <is>
          <t>月</t>
        </is>
      </c>
      <c r="H16" s="43">
        <f>I16*E16</f>
        <v/>
      </c>
      <c r="I16" s="15">
        <f>IF(G16="月",$R$4,IF(G16="週",$S$4,$T$4))</f>
        <v/>
      </c>
    </row>
    <row r="17">
      <c r="B17" s="53" t="n"/>
      <c r="C17" s="18" t="inlineStr">
        <is>
          <t>主要外業務</t>
        </is>
      </c>
      <c r="D17" s="10" t="n"/>
      <c r="E17" s="11" t="n"/>
      <c r="F17" s="12" t="inlineStr">
        <is>
          <t>/</t>
        </is>
      </c>
      <c r="G17" s="13" t="inlineStr">
        <is>
          <t>月</t>
        </is>
      </c>
      <c r="H17" s="43">
        <f>I17*E17</f>
        <v/>
      </c>
      <c r="I17" s="15">
        <f>IF(G17="月",$R$4,IF(G17="週",$S$4,$T$4))</f>
        <v/>
      </c>
    </row>
    <row r="18">
      <c r="B18" s="53" t="n"/>
      <c r="C18" s="18" t="inlineStr">
        <is>
          <t>主要外業務</t>
        </is>
      </c>
      <c r="D18" s="10" t="n"/>
      <c r="E18" s="11" t="n"/>
      <c r="F18" s="12" t="inlineStr">
        <is>
          <t>/</t>
        </is>
      </c>
      <c r="G18" s="13" t="inlineStr">
        <is>
          <t>月</t>
        </is>
      </c>
      <c r="H18" s="43">
        <f>I18*E18</f>
        <v/>
      </c>
      <c r="I18" s="15">
        <f>IF(G18="月",$R$4,IF(G18="週",$S$4,$T$4))</f>
        <v/>
      </c>
    </row>
    <row r="19">
      <c r="B19" s="53" t="n"/>
      <c r="C19" s="18" t="inlineStr">
        <is>
          <t>主要外業務</t>
        </is>
      </c>
      <c r="D19" s="26" t="n"/>
      <c r="E19" s="11" t="n"/>
      <c r="F19" s="12" t="inlineStr">
        <is>
          <t>/</t>
        </is>
      </c>
      <c r="G19" s="13" t="inlineStr">
        <is>
          <t>月</t>
        </is>
      </c>
      <c r="H19" s="43">
        <f>I19*E19</f>
        <v/>
      </c>
      <c r="I19" s="15">
        <f>IF(G19="月",$R$4,IF(G19="週",$S$4,$T$4))</f>
        <v/>
      </c>
    </row>
    <row r="20">
      <c r="B20" s="53" t="n"/>
      <c r="C20" s="18" t="inlineStr">
        <is>
          <t>主要外業務</t>
        </is>
      </c>
      <c r="D20" s="26" t="n"/>
      <c r="E20" s="11" t="n"/>
      <c r="F20" s="12" t="inlineStr">
        <is>
          <t>/</t>
        </is>
      </c>
      <c r="G20" s="13" t="inlineStr">
        <is>
          <t>月</t>
        </is>
      </c>
      <c r="H20" s="43">
        <f>I20*E20</f>
        <v/>
      </c>
      <c r="I20" s="15">
        <f>IF(G20="月",$R$4,IF(G20="週",$S$4,$T$4))</f>
        <v/>
      </c>
      <c r="R20" s="1" t="n"/>
      <c r="S20" s="1" t="n"/>
      <c r="T20" s="1" t="n"/>
    </row>
    <row r="21">
      <c r="B21" s="53" t="n"/>
      <c r="C21" s="18" t="inlineStr">
        <is>
          <t>主要外業務</t>
        </is>
      </c>
      <c r="D21" s="26" t="n"/>
      <c r="E21" s="16" t="n"/>
      <c r="F21" s="12" t="inlineStr">
        <is>
          <t>/</t>
        </is>
      </c>
      <c r="G21" s="13" t="inlineStr">
        <is>
          <t>月</t>
        </is>
      </c>
      <c r="H21" s="43">
        <f>I21*E21</f>
        <v/>
      </c>
      <c r="I21" s="15">
        <f>IF(G21="月",$R$4,IF(G21="週",$S$4,$T$4))</f>
        <v/>
      </c>
      <c r="R21" s="1" t="n"/>
      <c r="S21" s="1" t="n"/>
      <c r="T21" s="1" t="n"/>
    </row>
    <row r="22">
      <c r="B22" s="53" t="n"/>
      <c r="C22" s="18" t="inlineStr">
        <is>
          <t>主要外業務</t>
        </is>
      </c>
      <c r="D22" s="26" t="n"/>
      <c r="E22" s="16" t="n"/>
      <c r="F22" s="12" t="inlineStr">
        <is>
          <t>/</t>
        </is>
      </c>
      <c r="G22" s="13" t="inlineStr">
        <is>
          <t>月</t>
        </is>
      </c>
      <c r="H22" s="43">
        <f>I22*E22</f>
        <v/>
      </c>
      <c r="I22" s="15">
        <f>IF(G22="月",$R$4,IF(G22="週",$S$4,$T$4))</f>
        <v/>
      </c>
      <c r="R22" s="1" t="n"/>
      <c r="S22" s="1" t="n"/>
      <c r="T22" s="1" t="n"/>
    </row>
    <row r="23">
      <c r="B23" s="53" t="n"/>
      <c r="C23" s="18" t="inlineStr">
        <is>
          <t>主要外業務</t>
        </is>
      </c>
      <c r="D23" s="26" t="n"/>
      <c r="E23" s="16" t="n"/>
      <c r="F23" s="12" t="inlineStr">
        <is>
          <t>/</t>
        </is>
      </c>
      <c r="G23" s="13" t="inlineStr">
        <is>
          <t>月</t>
        </is>
      </c>
      <c r="H23" s="43">
        <f>I23*E23</f>
        <v/>
      </c>
      <c r="I23" s="15">
        <f>IF(G23="月",$R$4,IF(G23="週",$S$4,$T$4))</f>
        <v/>
      </c>
      <c r="R23" s="1" t="n"/>
      <c r="S23" s="1" t="n"/>
      <c r="T23" s="1" t="n"/>
    </row>
    <row r="24">
      <c r="B24" s="53" t="n"/>
      <c r="C24" s="18" t="inlineStr">
        <is>
          <t>主要外業務</t>
        </is>
      </c>
      <c r="D24" s="26" t="n"/>
      <c r="E24" s="16" t="n"/>
      <c r="F24" s="12" t="inlineStr">
        <is>
          <t>/</t>
        </is>
      </c>
      <c r="G24" s="13" t="inlineStr">
        <is>
          <t>月</t>
        </is>
      </c>
      <c r="H24" s="43">
        <f>I24*E24</f>
        <v/>
      </c>
      <c r="I24" s="15">
        <f>IF(G24="月",$R$4,IF(G24="週",$S$4,$T$4))</f>
        <v/>
      </c>
      <c r="R24" s="1" t="n"/>
      <c r="S24" s="1" t="n"/>
      <c r="T24" s="1" t="n"/>
    </row>
    <row r="25">
      <c r="B25" s="53" t="n"/>
      <c r="C25" s="18" t="inlineStr">
        <is>
          <t>主要外業務</t>
        </is>
      </c>
      <c r="D25" s="26" t="n"/>
      <c r="E25" s="16" t="n"/>
      <c r="F25" s="12" t="inlineStr">
        <is>
          <t>/</t>
        </is>
      </c>
      <c r="G25" s="13" t="inlineStr">
        <is>
          <t>月</t>
        </is>
      </c>
      <c r="H25" s="43">
        <f>I25*E25</f>
        <v/>
      </c>
      <c r="I25" s="15">
        <f>IF(G25="月",$R$4,IF(G25="週",$S$4,$T$4))</f>
        <v/>
      </c>
      <c r="R25" s="1" t="n"/>
      <c r="S25" s="1" t="n"/>
      <c r="T25" s="1" t="n"/>
    </row>
    <row r="26">
      <c r="B26" s="53" t="n"/>
      <c r="C26" s="18" t="inlineStr">
        <is>
          <t>主要外業務</t>
        </is>
      </c>
      <c r="D26" s="26" t="n"/>
      <c r="E26" s="16" t="n"/>
      <c r="F26" s="12" t="inlineStr">
        <is>
          <t>/</t>
        </is>
      </c>
      <c r="G26" s="13" t="inlineStr">
        <is>
          <t>月</t>
        </is>
      </c>
      <c r="H26" s="43">
        <f>I26*E26</f>
        <v/>
      </c>
      <c r="I26" s="15">
        <f>IF(G26="月",$R$4,IF(G26="週",$S$4,$T$4))</f>
        <v/>
      </c>
      <c r="R26" s="1" t="n"/>
      <c r="S26" s="1" t="n"/>
      <c r="T26" s="1" t="n"/>
    </row>
    <row r="27">
      <c r="B27" s="53" t="n"/>
      <c r="C27" s="18" t="inlineStr">
        <is>
          <t>主要外業務</t>
        </is>
      </c>
      <c r="D27" s="10" t="n"/>
      <c r="E27" s="11" t="n"/>
      <c r="F27" s="12" t="inlineStr">
        <is>
          <t>/</t>
        </is>
      </c>
      <c r="G27" s="13" t="inlineStr">
        <is>
          <t>月</t>
        </is>
      </c>
      <c r="H27" s="43">
        <f>I27*E27</f>
        <v/>
      </c>
      <c r="I27" s="15">
        <f>IF(G27="月",$R$4,IF(G27="週",$S$4,$T$4))</f>
        <v/>
      </c>
      <c r="R27" s="1" t="n"/>
      <c r="S27" s="1" t="n"/>
      <c r="T27" s="1" t="n"/>
    </row>
    <row r="28">
      <c r="B28" s="53" t="n"/>
      <c r="C28" s="18" t="inlineStr">
        <is>
          <t>主要外業務</t>
        </is>
      </c>
      <c r="D28" s="27" t="n"/>
      <c r="E28" s="28" t="n"/>
      <c r="F28" s="12" t="inlineStr">
        <is>
          <t>/</t>
        </is>
      </c>
      <c r="G28" s="13" t="inlineStr">
        <is>
          <t>月</t>
        </is>
      </c>
      <c r="H28" s="43">
        <f>I28*E28</f>
        <v/>
      </c>
      <c r="I28" s="15">
        <f>IF(G28="月",$R$4,IF(G28="週",$S$4,$T$4))</f>
        <v/>
      </c>
      <c r="R28" s="1" t="n"/>
      <c r="S28" s="1" t="n"/>
      <c r="T28" s="1" t="n"/>
    </row>
    <row r="29">
      <c r="B29" s="53" t="n"/>
      <c r="C29" s="18" t="inlineStr">
        <is>
          <t>主要外業務</t>
        </is>
      </c>
      <c r="D29" s="26" t="n"/>
      <c r="E29" s="16" t="n"/>
      <c r="F29" s="12" t="inlineStr">
        <is>
          <t>/</t>
        </is>
      </c>
      <c r="G29" s="13" t="inlineStr">
        <is>
          <t>月</t>
        </is>
      </c>
      <c r="H29" s="43">
        <f>I29*E29</f>
        <v/>
      </c>
      <c r="I29" s="15">
        <f>IF(G29="月",$R$4,IF(G29="週",$S$4,$T$4))</f>
        <v/>
      </c>
      <c r="R29" s="1" t="n"/>
      <c r="S29" s="1" t="n"/>
      <c r="T29" s="1" t="n"/>
    </row>
    <row r="30">
      <c r="B30" s="54" t="n"/>
      <c r="C30" s="18" t="n"/>
      <c r="D30" s="26" t="n"/>
      <c r="E30" s="16" t="n"/>
      <c r="F30" s="12" t="inlineStr">
        <is>
          <t>/</t>
        </is>
      </c>
      <c r="G30" s="13" t="inlineStr">
        <is>
          <t>月</t>
        </is>
      </c>
      <c r="H30" s="43">
        <f>I30*E30</f>
        <v/>
      </c>
      <c r="I30" s="15">
        <f>IF(G30="月",$R$4,IF(G30="週",$S$4,$T$4))</f>
        <v/>
      </c>
      <c r="R30" s="1" t="n"/>
      <c r="S30" s="1" t="n"/>
      <c r="T30" s="1" t="n"/>
    </row>
    <row r="31">
      <c r="B31" s="47" t="inlineStr">
        <is>
          <t>主体業務
コア業務</t>
        </is>
      </c>
      <c r="C31" s="29" t="inlineStr">
        <is>
          <t>主体業務</t>
        </is>
      </c>
      <c r="D31" s="10" t="n"/>
      <c r="E31" s="16" t="n"/>
      <c r="F31" s="17" t="inlineStr">
        <is>
          <t>/</t>
        </is>
      </c>
      <c r="G31" s="13" t="inlineStr">
        <is>
          <t>月</t>
        </is>
      </c>
      <c r="H31" s="48">
        <f>I31*E31</f>
        <v/>
      </c>
      <c r="I31" s="15">
        <f>IF(G31="月",$R$4,IF(G31="週",$S$4,$T$4))</f>
        <v/>
      </c>
      <c r="R31" s="1" t="n"/>
      <c r="S31" s="1" t="n"/>
      <c r="T31" s="1" t="n"/>
    </row>
    <row r="32">
      <c r="B32" s="53" t="n"/>
      <c r="C32" s="29" t="inlineStr">
        <is>
          <t>主体業務</t>
        </is>
      </c>
      <c r="D32" s="10" t="n"/>
      <c r="E32" s="11" t="n"/>
      <c r="F32" s="12" t="inlineStr">
        <is>
          <t>/</t>
        </is>
      </c>
      <c r="G32" s="13" t="inlineStr">
        <is>
          <t>月</t>
        </is>
      </c>
      <c r="H32" s="48">
        <f>I32*E32</f>
        <v/>
      </c>
      <c r="I32" s="15">
        <f>IF(G32="月",$R$4,IF(G32="週",$S$4,$T$4))</f>
        <v/>
      </c>
      <c r="R32" s="1" t="n"/>
      <c r="S32" s="1" t="n"/>
      <c r="T32" s="1" t="n"/>
    </row>
    <row r="33">
      <c r="B33" s="53" t="n"/>
      <c r="C33" s="29" t="inlineStr">
        <is>
          <t>主体業務</t>
        </is>
      </c>
      <c r="D33" s="10" t="n"/>
      <c r="E33" s="11" t="n"/>
      <c r="F33" s="12" t="inlineStr">
        <is>
          <t>/</t>
        </is>
      </c>
      <c r="G33" s="13" t="inlineStr">
        <is>
          <t>月</t>
        </is>
      </c>
      <c r="H33" s="48">
        <f>I33*E33</f>
        <v/>
      </c>
      <c r="I33" s="15">
        <f>IF(G33="月",$R$4,IF(G33="週",$S$4,$T$4))</f>
        <v/>
      </c>
      <c r="R33" s="1" t="n"/>
      <c r="S33" s="1" t="n"/>
      <c r="T33" s="1" t="n"/>
    </row>
    <row r="34">
      <c r="B34" s="53" t="n"/>
      <c r="C34" s="29" t="inlineStr">
        <is>
          <t>主体業務</t>
        </is>
      </c>
      <c r="D34" s="10" t="n"/>
      <c r="E34" s="11" t="n"/>
      <c r="F34" s="12" t="inlineStr">
        <is>
          <t>/</t>
        </is>
      </c>
      <c r="G34" s="13" t="inlineStr">
        <is>
          <t>月</t>
        </is>
      </c>
      <c r="H34" s="48">
        <f>I34*E34</f>
        <v/>
      </c>
      <c r="I34" s="15">
        <f>IF(G34="月",$R$4,IF(G34="週",$S$4,$T$4))</f>
        <v/>
      </c>
      <c r="R34" s="1" t="n"/>
      <c r="S34" s="1" t="n"/>
      <c r="T34" s="1" t="n"/>
    </row>
    <row r="35">
      <c r="B35" s="53" t="n"/>
      <c r="C35" s="29" t="inlineStr">
        <is>
          <t>主体業務</t>
        </is>
      </c>
      <c r="D35" s="10" t="n"/>
      <c r="E35" s="11" t="n"/>
      <c r="F35" s="12" t="inlineStr">
        <is>
          <t>/</t>
        </is>
      </c>
      <c r="G35" s="13" t="inlineStr">
        <is>
          <t>月</t>
        </is>
      </c>
      <c r="H35" s="48">
        <f>I35*E35</f>
        <v/>
      </c>
      <c r="I35" s="15">
        <f>IF(G35="月",$R$4,IF(G35="週",$S$4,$T$4))</f>
        <v/>
      </c>
      <c r="R35" s="1" t="n"/>
      <c r="S35" s="1" t="n"/>
      <c r="T35" s="1" t="n"/>
    </row>
    <row r="36">
      <c r="B36" s="53" t="n"/>
      <c r="C36" s="29" t="inlineStr">
        <is>
          <t>主体業務</t>
        </is>
      </c>
      <c r="D36" s="10" t="n"/>
      <c r="E36" s="11" t="n"/>
      <c r="F36" s="12" t="inlineStr">
        <is>
          <t>/</t>
        </is>
      </c>
      <c r="G36" s="13" t="inlineStr">
        <is>
          <t>月</t>
        </is>
      </c>
      <c r="H36" s="48">
        <f>I36*E36</f>
        <v/>
      </c>
      <c r="I36" s="15">
        <f>IF(G36="月",$R$4,IF(G36="週",$S$4,$T$4))</f>
        <v/>
      </c>
      <c r="R36" s="1" t="n"/>
      <c r="S36" s="1" t="n"/>
      <c r="T36" s="1" t="n"/>
    </row>
    <row r="37">
      <c r="B37" s="53" t="n"/>
      <c r="C37" s="29" t="inlineStr">
        <is>
          <t>主体業務</t>
        </is>
      </c>
      <c r="D37" s="10" t="n"/>
      <c r="E37" s="11" t="n"/>
      <c r="F37" s="12" t="inlineStr">
        <is>
          <t>/</t>
        </is>
      </c>
      <c r="G37" s="13" t="inlineStr">
        <is>
          <t>月</t>
        </is>
      </c>
      <c r="H37" s="48">
        <f>I37*E37</f>
        <v/>
      </c>
      <c r="I37" s="15">
        <f>IF(G37="月",$R$4,IF(G37="週",$S$4,$T$4))</f>
        <v/>
      </c>
      <c r="R37" s="1" t="n"/>
      <c r="S37" s="1" t="n"/>
      <c r="T37" s="1" t="n"/>
    </row>
    <row r="38">
      <c r="B38" s="53" t="n"/>
      <c r="C38" s="29" t="inlineStr">
        <is>
          <t>主体業務</t>
        </is>
      </c>
      <c r="D38" s="27" t="n"/>
      <c r="E38" s="28" t="n"/>
      <c r="F38" s="12" t="inlineStr">
        <is>
          <t>/</t>
        </is>
      </c>
      <c r="G38" s="13" t="inlineStr">
        <is>
          <t>月</t>
        </is>
      </c>
      <c r="H38" s="48">
        <f>I38*E38</f>
        <v/>
      </c>
      <c r="I38" s="15">
        <f>IF(G38="月",$R$4,IF(G38="週",$S$4,$T$4))</f>
        <v/>
      </c>
      <c r="R38" s="1" t="n"/>
      <c r="S38" s="1" t="n"/>
      <c r="T38" s="1" t="n"/>
    </row>
    <row r="39">
      <c r="B39" s="53" t="n"/>
      <c r="C39" s="29" t="inlineStr">
        <is>
          <t>主体業務</t>
        </is>
      </c>
      <c r="D39" s="27" t="n"/>
      <c r="E39" s="28" t="n"/>
      <c r="F39" s="12" t="inlineStr">
        <is>
          <t>/</t>
        </is>
      </c>
      <c r="G39" s="13" t="inlineStr">
        <is>
          <t>月</t>
        </is>
      </c>
      <c r="H39" s="48">
        <f>I39*E39</f>
        <v/>
      </c>
      <c r="I39" s="15">
        <f>IF(G39="月",$R$4,IF(G39="週",$S$4,$T$4))</f>
        <v/>
      </c>
      <c r="R39" s="1" t="n"/>
      <c r="S39" s="1" t="n"/>
      <c r="T39" s="1" t="n"/>
    </row>
    <row r="40">
      <c r="B40" s="53" t="n"/>
      <c r="C40" s="29" t="inlineStr">
        <is>
          <t>主体業務</t>
        </is>
      </c>
      <c r="D40" s="27" t="n"/>
      <c r="E40" s="28" t="n"/>
      <c r="F40" s="12" t="inlineStr">
        <is>
          <t>/</t>
        </is>
      </c>
      <c r="G40" s="13" t="inlineStr">
        <is>
          <t>月</t>
        </is>
      </c>
      <c r="H40" s="48">
        <f>I40*E40</f>
        <v/>
      </c>
      <c r="I40" s="15">
        <f>IF(G40="月",$R$4,IF(G40="週",$S$4,$T$4))</f>
        <v/>
      </c>
      <c r="R40" s="1" t="n"/>
      <c r="S40" s="1" t="n"/>
      <c r="T40" s="1" t="n"/>
    </row>
    <row r="41">
      <c r="B41" s="53" t="n"/>
      <c r="C41" s="29" t="inlineStr">
        <is>
          <t>主体業務</t>
        </is>
      </c>
      <c r="D41" s="27" t="n"/>
      <c r="E41" s="28" t="n"/>
      <c r="F41" s="12" t="inlineStr">
        <is>
          <t>/</t>
        </is>
      </c>
      <c r="G41" s="13" t="inlineStr">
        <is>
          <t>月</t>
        </is>
      </c>
      <c r="H41" s="48">
        <f>I41*E41</f>
        <v/>
      </c>
      <c r="I41" s="15">
        <f>IF(G41="月",$R$4,IF(G41="週",$S$4,$T$4))</f>
        <v/>
      </c>
      <c r="R41" s="1" t="n"/>
      <c r="S41" s="1" t="n"/>
      <c r="T41" s="1" t="n"/>
    </row>
    <row r="42">
      <c r="B42" s="53" t="n"/>
      <c r="C42" s="29" t="inlineStr">
        <is>
          <t>主体業務</t>
        </is>
      </c>
      <c r="D42" s="27" t="n"/>
      <c r="E42" s="28" t="n"/>
      <c r="F42" s="12" t="inlineStr">
        <is>
          <t>/</t>
        </is>
      </c>
      <c r="G42" s="13" t="inlineStr">
        <is>
          <t>月</t>
        </is>
      </c>
      <c r="H42" s="48">
        <f>I42*E42</f>
        <v/>
      </c>
      <c r="I42" s="15">
        <f>IF(G42="月",$R$4,IF(G42="週",$S$4,$T$4))</f>
        <v/>
      </c>
      <c r="R42" s="1" t="n"/>
      <c r="S42" s="1" t="n"/>
      <c r="T42" s="1" t="n"/>
    </row>
    <row r="43" ht="19.5" customHeight="1" thickBot="1">
      <c r="B43" s="54" t="n"/>
      <c r="C43" s="31" t="n"/>
      <c r="D43" s="27" t="n"/>
      <c r="E43" s="28" t="n"/>
      <c r="F43" s="12" t="inlineStr">
        <is>
          <t>/</t>
        </is>
      </c>
      <c r="G43" s="13" t="inlineStr">
        <is>
          <t>月</t>
        </is>
      </c>
      <c r="H43" s="48">
        <f>I43*E43</f>
        <v/>
      </c>
      <c r="I43" s="15">
        <f>IF(G43="月",$R$4,IF(G43="週",$S$4,$T$4))</f>
        <v/>
      </c>
      <c r="R43" s="1" t="n"/>
      <c r="S43" s="1" t="n"/>
      <c r="T43" s="1" t="n"/>
    </row>
    <row r="44" ht="24.75" customHeight="1" thickTop="1">
      <c r="A44" s="32" t="n"/>
      <c r="B44" s="32" t="n"/>
      <c r="C44" s="49" t="inlineStr">
        <is>
          <t>合計</t>
        </is>
      </c>
      <c r="D44" s="55" t="n"/>
      <c r="E44" s="55" t="n"/>
      <c r="F44" s="55" t="n"/>
      <c r="G44" s="56" t="n"/>
      <c r="H44" s="33">
        <f>SUM(H3:H43)</f>
        <v/>
      </c>
      <c r="I44" s="34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4" t="n"/>
      <c r="S44" s="34" t="n"/>
      <c r="T44" s="34" t="n"/>
      <c r="U44" s="32" t="n"/>
    </row>
    <row r="45" ht="24" customHeight="1">
      <c r="A45" s="32" t="n"/>
      <c r="B45" s="32" t="n"/>
      <c r="C45" s="50" t="inlineStr">
        <is>
          <t>実際の勤務時間</t>
        </is>
      </c>
      <c r="D45" s="57" t="n"/>
      <c r="E45" s="57" t="n"/>
      <c r="F45" s="57" t="n"/>
      <c r="G45" s="58" t="n"/>
      <c r="H45" s="50" t="n"/>
      <c r="I45" s="36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6" t="n"/>
      <c r="S45" s="36" t="n"/>
      <c r="T45" s="36" t="n"/>
      <c r="U45" s="32" t="n"/>
    </row>
    <row r="46" ht="24" customHeight="1">
      <c r="A46" s="32" t="n"/>
      <c r="B46" s="32" t="n"/>
      <c r="C46" s="39" t="inlineStr">
        <is>
          <t>比率</t>
        </is>
      </c>
      <c r="D46" s="57" t="n"/>
      <c r="E46" s="57" t="n"/>
      <c r="F46" s="57" t="n"/>
      <c r="G46" s="58" t="n"/>
      <c r="H46" s="37">
        <f>H44/H45</f>
        <v/>
      </c>
      <c r="I46" s="59" t="n"/>
      <c r="J46" s="32" t="n"/>
      <c r="K46" s="32" t="n"/>
      <c r="L46" s="32" t="n"/>
      <c r="M46" s="32" t="n"/>
      <c r="N46" s="32" t="n"/>
      <c r="O46" s="32" t="n"/>
      <c r="P46" s="32" t="n"/>
      <c r="Q46" s="32" t="n"/>
      <c r="R46" s="59" t="n"/>
      <c r="S46" s="59" t="n"/>
      <c r="T46" s="59" t="n"/>
      <c r="U46" s="32" t="n"/>
    </row>
    <row r="47">
      <c r="E47" s="1" t="n"/>
      <c r="F47" s="1" t="n"/>
      <c r="G47" s="1" t="n"/>
      <c r="R47" s="1" t="n"/>
      <c r="S47" s="1" t="n"/>
      <c r="T47" s="1" t="n"/>
    </row>
  </sheetData>
  <mergeCells count="7">
    <mergeCell ref="B31:B43"/>
    <mergeCell ref="R3:T3"/>
    <mergeCell ref="C46:G46"/>
    <mergeCell ref="C44:G44"/>
    <mergeCell ref="C45:G45"/>
    <mergeCell ref="B3:B14"/>
    <mergeCell ref="B15:B30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14">
    <outlinePr summaryBelow="1" summaryRight="1"/>
    <pageSetUpPr/>
  </sheetPr>
  <dimension ref="A1:U47"/>
  <sheetViews>
    <sheetView topLeftCell="C1" zoomScaleNormal="100" workbookViewId="0">
      <selection activeCell="C1" sqref="C1"/>
    </sheetView>
  </sheetViews>
  <sheetFormatPr baseColWidth="8" defaultColWidth="8.875" defaultRowHeight="18.75"/>
  <cols>
    <col width="13.375" customWidth="1" min="1" max="1"/>
    <col width="17.875" customWidth="1" min="2" max="2"/>
    <col width="14.625" customWidth="1" min="3" max="3"/>
    <col width="35" customWidth="1" min="4" max="4"/>
    <col width="6.125" customWidth="1" min="5" max="5"/>
    <col width="2.125" customWidth="1" min="6" max="6"/>
    <col width="5.5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1">
      <c r="E1" s="1" t="n"/>
      <c r="F1" s="1" t="n"/>
      <c r="G1" s="1" t="n"/>
      <c r="R1" s="1" t="n"/>
      <c r="S1" s="1" t="n"/>
      <c r="T1" s="1" t="n"/>
    </row>
    <row r="2" ht="56.25" customHeight="1">
      <c r="C2" s="2" t="n">
        <v>45611</v>
      </c>
      <c r="D2" s="3" t="inlineStr">
        <is>
          <t>業務内容・・・（例）</t>
        </is>
      </c>
      <c r="E2" s="4" t="inlineStr">
        <is>
          <t>業務
時間
（h）</t>
        </is>
      </c>
      <c r="F2" s="5" t="inlineStr">
        <is>
          <t>/</t>
        </is>
      </c>
      <c r="G2" s="6" t="inlineStr">
        <is>
          <t>単位</t>
        </is>
      </c>
      <c r="H2" s="7" t="inlineStr">
        <is>
          <t>１ヵ月あたりの時間
(h）</t>
        </is>
      </c>
      <c r="I2" s="8" t="n"/>
      <c r="R2" s="1" t="n"/>
      <c r="S2" s="1" t="n"/>
      <c r="T2" s="1" t="n"/>
    </row>
    <row r="3">
      <c r="B3" s="40" t="inlineStr">
        <is>
          <t>削減可能業務</t>
        </is>
      </c>
      <c r="C3" s="9" t="inlineStr">
        <is>
          <t>非定常業務</t>
        </is>
      </c>
      <c r="D3" s="10" t="inlineStr">
        <is>
          <t>品質確認</t>
        </is>
      </c>
      <c r="E3" s="11" t="n">
        <v>0.75</v>
      </c>
      <c r="F3" s="12" t="inlineStr">
        <is>
          <t>/</t>
        </is>
      </c>
      <c r="G3" s="13" t="inlineStr">
        <is>
          <t>月</t>
        </is>
      </c>
      <c r="H3" s="41">
        <f>I3*E3</f>
        <v/>
      </c>
      <c r="I3" s="15">
        <f>IF(G3="月",$R$16,IF(G3="週",$S$16,$T$16))</f>
        <v/>
      </c>
    </row>
    <row r="4" ht="19.5" customHeight="1" thickBot="1">
      <c r="B4" s="53" t="n"/>
      <c r="C4" s="9" t="inlineStr">
        <is>
          <t>非定常業務</t>
        </is>
      </c>
      <c r="D4" s="10" t="inlineStr">
        <is>
          <t>手直し</t>
        </is>
      </c>
      <c r="E4" s="11" t="n">
        <v>0.86</v>
      </c>
      <c r="F4" s="12" t="inlineStr">
        <is>
          <t>/</t>
        </is>
      </c>
      <c r="G4" s="13" t="inlineStr">
        <is>
          <t>月</t>
        </is>
      </c>
      <c r="H4" s="41">
        <f>I4*E4</f>
        <v/>
      </c>
      <c r="I4" s="15">
        <f>IF(G4="月",$R$16,IF(G4="週",$S$16,$T$16))</f>
        <v/>
      </c>
    </row>
    <row r="5" hidden="1" ht="19.5" customHeight="1" thickBot="1">
      <c r="B5" s="53" t="n"/>
      <c r="C5" s="9" t="inlineStr">
        <is>
          <t>非定常業務</t>
        </is>
      </c>
      <c r="D5" s="10" t="n"/>
      <c r="E5" s="11" t="n"/>
      <c r="F5" s="12" t="inlineStr">
        <is>
          <t>/</t>
        </is>
      </c>
      <c r="G5" s="13" t="inlineStr">
        <is>
          <t>月</t>
        </is>
      </c>
      <c r="H5" s="41">
        <f>I5*E5</f>
        <v/>
      </c>
      <c r="I5" s="15">
        <f>IF(G5="月",$R$16,IF(G5="週",$S$16,$T$16))</f>
        <v/>
      </c>
    </row>
    <row r="6" hidden="1" ht="19.5" customHeight="1" thickBot="1">
      <c r="B6" s="53" t="n"/>
      <c r="C6" s="9" t="inlineStr">
        <is>
          <t>非定常業務</t>
        </is>
      </c>
      <c r="D6" s="10" t="n"/>
      <c r="E6" s="11" t="n"/>
      <c r="F6" s="12" t="inlineStr">
        <is>
          <t>/</t>
        </is>
      </c>
      <c r="G6" s="13" t="inlineStr">
        <is>
          <t>月</t>
        </is>
      </c>
      <c r="H6" s="41">
        <f>I6*E6</f>
        <v/>
      </c>
      <c r="I6" s="15">
        <f>IF(G6="月",$R$16,IF(G6="週",$S$16,$T$16))</f>
        <v/>
      </c>
    </row>
    <row r="7" hidden="1" ht="19.5" customHeight="1" thickBot="1">
      <c r="B7" s="53" t="n"/>
      <c r="C7" s="9" t="inlineStr">
        <is>
          <t>非定常業務</t>
        </is>
      </c>
      <c r="D7" s="10" t="n"/>
      <c r="E7" s="11" t="n"/>
      <c r="F7" s="12" t="inlineStr">
        <is>
          <t>/</t>
        </is>
      </c>
      <c r="G7" s="13" t="inlineStr">
        <is>
          <t>月</t>
        </is>
      </c>
      <c r="H7" s="41">
        <f>I7*E7</f>
        <v/>
      </c>
      <c r="I7" s="15">
        <f>IF(G7="月",$R$16,IF(G7="週",$S$16,$T$16))</f>
        <v/>
      </c>
    </row>
    <row r="8" hidden="1" ht="19.5" customHeight="1" thickBot="1">
      <c r="B8" s="53" t="n"/>
      <c r="C8" s="9" t="inlineStr">
        <is>
          <t>非定常業務</t>
        </is>
      </c>
      <c r="D8" s="10" t="n"/>
      <c r="E8" s="11" t="n"/>
      <c r="F8" s="12" t="inlineStr">
        <is>
          <t>/</t>
        </is>
      </c>
      <c r="G8" s="13" t="inlineStr">
        <is>
          <t>月</t>
        </is>
      </c>
      <c r="H8" s="41">
        <f>I8*E8</f>
        <v/>
      </c>
      <c r="I8" s="15">
        <f>IF(G8="月",$R$16,IF(G8="週",$S$16,$T$16))</f>
        <v/>
      </c>
      <c r="R8" s="1" t="n"/>
      <c r="S8" s="1" t="n"/>
      <c r="T8" s="1" t="n"/>
    </row>
    <row r="9" hidden="1" ht="19.5" customHeight="1" thickBot="1">
      <c r="B9" s="53" t="n"/>
      <c r="C9" s="9" t="inlineStr">
        <is>
          <t>非定常業務</t>
        </is>
      </c>
      <c r="D9" s="10" t="n"/>
      <c r="E9" s="11" t="n"/>
      <c r="F9" s="12" t="inlineStr">
        <is>
          <t>/</t>
        </is>
      </c>
      <c r="G9" s="13" t="inlineStr">
        <is>
          <t>月</t>
        </is>
      </c>
      <c r="H9" s="41">
        <f>I9*E9</f>
        <v/>
      </c>
      <c r="I9" s="15">
        <f>IF(G9="月",$R$16,IF(G9="週",$S$16,$T$16))</f>
        <v/>
      </c>
      <c r="R9" s="1" t="n"/>
      <c r="S9" s="1" t="n"/>
      <c r="T9" s="1" t="n"/>
    </row>
    <row r="10" hidden="1" ht="19.5" customHeight="1" thickBot="1">
      <c r="B10" s="53" t="n"/>
      <c r="C10" s="9" t="inlineStr">
        <is>
          <t>非定常業務</t>
        </is>
      </c>
      <c r="D10" s="10" t="n"/>
      <c r="E10" s="16" t="n"/>
      <c r="F10" s="17" t="inlineStr">
        <is>
          <t>/</t>
        </is>
      </c>
      <c r="G10" s="13" t="inlineStr">
        <is>
          <t>月</t>
        </is>
      </c>
      <c r="H10" s="41">
        <f>I10*E10</f>
        <v/>
      </c>
      <c r="I10" s="15">
        <f>IF(G10="月",$R$16,IF(G10="週",$S$16,$T$16))</f>
        <v/>
      </c>
      <c r="R10" s="1" t="n"/>
      <c r="S10" s="1" t="n"/>
      <c r="T10" s="1" t="n"/>
    </row>
    <row r="11" hidden="1" ht="19.5" customHeight="1" thickBot="1">
      <c r="B11" s="53" t="n"/>
      <c r="C11" s="9" t="inlineStr">
        <is>
          <t>非定常業務</t>
        </is>
      </c>
      <c r="D11" s="10" t="n"/>
      <c r="E11" s="11" t="n"/>
      <c r="F11" s="12" t="inlineStr">
        <is>
          <t>/</t>
        </is>
      </c>
      <c r="G11" s="13" t="inlineStr">
        <is>
          <t>月</t>
        </is>
      </c>
      <c r="H11" s="41">
        <f>I11*E11</f>
        <v/>
      </c>
      <c r="I11" s="15">
        <f>IF(G11="月",$R$16,IF(G11="週",$S$16,$T$16))</f>
        <v/>
      </c>
      <c r="R11" s="1" t="n"/>
      <c r="S11" s="1" t="n"/>
      <c r="T11" s="1" t="n"/>
    </row>
    <row r="12" hidden="1" ht="19.5" customHeight="1" thickBot="1">
      <c r="B12" s="53" t="n"/>
      <c r="C12" s="9" t="inlineStr">
        <is>
          <t>非定常業務</t>
        </is>
      </c>
      <c r="D12" s="10" t="n"/>
      <c r="E12" s="11" t="n"/>
      <c r="F12" s="12" t="inlineStr">
        <is>
          <t>/</t>
        </is>
      </c>
      <c r="G12" s="13" t="inlineStr">
        <is>
          <t>月</t>
        </is>
      </c>
      <c r="H12" s="41">
        <f>I12*E12</f>
        <v/>
      </c>
      <c r="I12" s="15">
        <f>IF(G12="月",$R$16,IF(G12="週",$S$16,$T$16))</f>
        <v/>
      </c>
      <c r="R12" s="1" t="n"/>
      <c r="S12" s="1" t="n"/>
      <c r="T12" s="1" t="n"/>
    </row>
    <row r="13" hidden="1" ht="19.5" customHeight="1" thickBot="1">
      <c r="B13" s="53" t="n"/>
      <c r="C13" s="9" t="inlineStr">
        <is>
          <t>非定常業務</t>
        </is>
      </c>
      <c r="D13" s="10" t="n"/>
      <c r="E13" s="11" t="n"/>
      <c r="F13" s="12" t="inlineStr">
        <is>
          <t>/</t>
        </is>
      </c>
      <c r="G13" s="13" t="inlineStr">
        <is>
          <t>月</t>
        </is>
      </c>
      <c r="H13" s="41">
        <f>I13*E13</f>
        <v/>
      </c>
      <c r="I13" s="15">
        <f>IF(G13="月",$R$16,IF(G13="週",$S$16,$T$16))</f>
        <v/>
      </c>
      <c r="R13" s="1" t="n"/>
      <c r="S13" s="1" t="n"/>
      <c r="T13" s="1" t="n"/>
    </row>
    <row r="14" hidden="1" ht="19.5" customHeight="1" thickBot="1">
      <c r="B14" s="54" t="n"/>
      <c r="C14" s="9" t="n"/>
      <c r="D14" s="10" t="n"/>
      <c r="E14" s="11" t="n"/>
      <c r="F14" s="12" t="inlineStr">
        <is>
          <t>/</t>
        </is>
      </c>
      <c r="G14" s="13" t="inlineStr">
        <is>
          <t>月</t>
        </is>
      </c>
      <c r="H14" s="41">
        <f>I14*E14</f>
        <v/>
      </c>
      <c r="I14" s="15">
        <f>IF(G14="月",$R$16,IF(G14="週",$S$16,$T$16))</f>
        <v/>
      </c>
      <c r="R14" s="1" t="n"/>
      <c r="S14" s="1" t="n"/>
      <c r="T14" s="1" t="n"/>
    </row>
    <row r="15" ht="19.5" customHeight="1" thickBot="1">
      <c r="B15" s="42" t="inlineStr">
        <is>
          <t>付帯業務
ノンコア業務</t>
        </is>
      </c>
      <c r="C15" s="18" t="inlineStr">
        <is>
          <t>主要外業務</t>
        </is>
      </c>
      <c r="D15" s="10" t="inlineStr">
        <is>
          <t>朝礼ラジオ体操挨拶</t>
        </is>
      </c>
      <c r="E15" s="11" t="n">
        <v>0.16</v>
      </c>
      <c r="F15" s="12" t="inlineStr">
        <is>
          <t>/</t>
        </is>
      </c>
      <c r="G15" s="13" t="inlineStr">
        <is>
          <t>月</t>
        </is>
      </c>
      <c r="H15" s="43">
        <f>I15*E15</f>
        <v/>
      </c>
      <c r="I15" s="15">
        <f>IF(G15="月",$R$16,IF(G15="週",$S$16,$T$16))</f>
        <v/>
      </c>
      <c r="K15" s="20" t="inlineStr">
        <is>
          <t>削減可能業務</t>
        </is>
      </c>
      <c r="L15">
        <f>SUM(H3:H14)</f>
        <v/>
      </c>
      <c r="R15" s="44" t="inlineStr">
        <is>
          <t>掛け数</t>
        </is>
      </c>
      <c r="S15" s="51" t="n"/>
      <c r="T15" s="52" t="n"/>
    </row>
    <row r="16" ht="19.5" customHeight="1" thickBot="1">
      <c r="B16" s="53" t="n"/>
      <c r="C16" s="18" t="inlineStr">
        <is>
          <t>主要外業務</t>
        </is>
      </c>
      <c r="D16" s="10" t="inlineStr">
        <is>
          <t>現場（作業）</t>
        </is>
      </c>
      <c r="E16" s="11" t="n">
        <v>4.76</v>
      </c>
      <c r="F16" s="12" t="inlineStr">
        <is>
          <t>/</t>
        </is>
      </c>
      <c r="G16" s="13" t="inlineStr">
        <is>
          <t>月</t>
        </is>
      </c>
      <c r="H16" s="43">
        <f>I16*E16</f>
        <v/>
      </c>
      <c r="I16" s="15">
        <f>IF(G16="月",$R$16,IF(G16="週",$S$16,$T$16))</f>
        <v/>
      </c>
      <c r="K16" s="21" t="inlineStr">
        <is>
          <t xml:space="preserve">付帯業務　</t>
        </is>
      </c>
      <c r="L16">
        <f>SUM(H15:H30)</f>
        <v/>
      </c>
      <c r="R16" s="22" t="n">
        <v>1</v>
      </c>
      <c r="S16" s="23" t="n">
        <v>4</v>
      </c>
      <c r="T16" s="24" t="n">
        <v>20</v>
      </c>
    </row>
    <row r="17">
      <c r="B17" s="53" t="n"/>
      <c r="C17" s="18" t="inlineStr">
        <is>
          <t>主要外業務</t>
        </is>
      </c>
      <c r="D17" s="10" t="inlineStr">
        <is>
          <t>トイレ掃除</t>
        </is>
      </c>
      <c r="E17" s="11" t="n">
        <v>0.08</v>
      </c>
      <c r="F17" s="12" t="inlineStr">
        <is>
          <t>/</t>
        </is>
      </c>
      <c r="G17" s="13" t="inlineStr">
        <is>
          <t>月</t>
        </is>
      </c>
      <c r="H17" s="43">
        <f>I17*E17</f>
        <v/>
      </c>
      <c r="I17" s="15">
        <f>IF(G17="月",$R$16,IF(G17="週",$S$16,$T$16))</f>
        <v/>
      </c>
      <c r="K17" s="25">
        <f>C31</f>
        <v/>
      </c>
      <c r="L17">
        <f>SUM(H31:H41)</f>
        <v/>
      </c>
      <c r="R17" s="1" t="n"/>
      <c r="S17" s="1" t="n"/>
      <c r="T17" s="1" t="n"/>
    </row>
    <row r="18">
      <c r="B18" s="53" t="n"/>
      <c r="C18" s="18" t="inlineStr">
        <is>
          <t>主要外業務</t>
        </is>
      </c>
      <c r="D18" s="10" t="inlineStr">
        <is>
          <t>残業確認</t>
        </is>
      </c>
      <c r="E18" s="11" t="n">
        <v>0.16</v>
      </c>
      <c r="F18" s="12" t="inlineStr">
        <is>
          <t>/</t>
        </is>
      </c>
      <c r="G18" s="13" t="inlineStr">
        <is>
          <t>月</t>
        </is>
      </c>
      <c r="H18" s="43">
        <f>I18*E18</f>
        <v/>
      </c>
      <c r="I18" s="15">
        <f>IF(G18="月",$R$16,IF(G18="週",$S$16,$T$16))</f>
        <v/>
      </c>
      <c r="R18" t="inlineStr">
        <is>
          <t>毎日×20　⇒　１ヵ月あたり</t>
        </is>
      </c>
      <c r="S18" s="1" t="n"/>
      <c r="T18" s="1" t="n"/>
    </row>
    <row r="19">
      <c r="B19" s="53" t="n"/>
      <c r="C19" s="18" t="inlineStr">
        <is>
          <t>主要外業務</t>
        </is>
      </c>
      <c r="D19" s="26" t="inlineStr">
        <is>
          <t>資料まとめ</t>
        </is>
      </c>
      <c r="E19" s="11" t="n">
        <v>0.16</v>
      </c>
      <c r="F19" s="12" t="inlineStr">
        <is>
          <t>/</t>
        </is>
      </c>
      <c r="G19" s="13" t="inlineStr">
        <is>
          <t>月</t>
        </is>
      </c>
      <c r="H19" s="43">
        <f>I19*E19</f>
        <v/>
      </c>
      <c r="I19" s="15">
        <f>IF(G19="月",$R$16,IF(G19="週",$S$16,$T$16))</f>
        <v/>
      </c>
      <c r="R19" t="inlineStr">
        <is>
          <t>１週間あたりk×4  ⇒　１ヵ月あたり</t>
        </is>
      </c>
      <c r="S19" s="1" t="n"/>
      <c r="T19" s="1" t="n"/>
    </row>
    <row r="20">
      <c r="B20" s="53" t="n"/>
      <c r="C20" s="18" t="inlineStr">
        <is>
          <t>主要外業務</t>
        </is>
      </c>
      <c r="D20" s="26" t="inlineStr">
        <is>
          <t>回覧チェック</t>
        </is>
      </c>
      <c r="E20" s="11" t="n">
        <v>0.08</v>
      </c>
      <c r="F20" s="12" t="inlineStr">
        <is>
          <t>/</t>
        </is>
      </c>
      <c r="G20" s="13" t="inlineStr">
        <is>
          <t>月</t>
        </is>
      </c>
      <c r="H20" s="43">
        <f>I20*E20</f>
        <v/>
      </c>
      <c r="I20" s="15">
        <f>IF(G20="月",$R$16,IF(G20="週",$S$16,$T$16))</f>
        <v/>
      </c>
      <c r="R20" s="1" t="n"/>
      <c r="S20" s="1" t="n"/>
      <c r="T20" s="1" t="n"/>
    </row>
    <row r="21">
      <c r="B21" s="53" t="n"/>
      <c r="C21" s="18" t="inlineStr">
        <is>
          <t>主要外業務</t>
        </is>
      </c>
      <c r="D21" s="26" t="inlineStr">
        <is>
          <t>メールチェック</t>
        </is>
      </c>
      <c r="E21" s="16" t="n">
        <v>0.08</v>
      </c>
      <c r="F21" s="12" t="inlineStr">
        <is>
          <t>/</t>
        </is>
      </c>
      <c r="G21" s="13" t="inlineStr">
        <is>
          <t>月</t>
        </is>
      </c>
      <c r="H21" s="43">
        <f>I21*E21</f>
        <v/>
      </c>
      <c r="I21" s="15">
        <f>IF(G21="月",$R$16,IF(G21="週",$S$16,$T$16))</f>
        <v/>
      </c>
      <c r="R21" s="1" t="n"/>
      <c r="S21" s="1" t="n"/>
      <c r="T21" s="1" t="n"/>
    </row>
    <row r="22" hidden="1">
      <c r="B22" s="53" t="n"/>
      <c r="C22" s="18" t="inlineStr">
        <is>
          <t>主要外業務</t>
        </is>
      </c>
      <c r="D22" s="26" t="n"/>
      <c r="E22" s="16" t="n"/>
      <c r="F22" s="12" t="inlineStr">
        <is>
          <t>/</t>
        </is>
      </c>
      <c r="G22" s="13" t="inlineStr">
        <is>
          <t>月</t>
        </is>
      </c>
      <c r="H22" s="43">
        <f>I22*E22</f>
        <v/>
      </c>
      <c r="I22" s="15">
        <f>IF(G22="月",$R$16,IF(G22="週",$S$16,$T$16))</f>
        <v/>
      </c>
      <c r="R22" s="1" t="n"/>
      <c r="S22" s="1" t="n"/>
      <c r="T22" s="1" t="n"/>
    </row>
    <row r="23" hidden="1">
      <c r="B23" s="53" t="n"/>
      <c r="C23" s="18" t="inlineStr">
        <is>
          <t>主要外業務</t>
        </is>
      </c>
      <c r="D23" s="26" t="n"/>
      <c r="E23" s="16" t="n"/>
      <c r="F23" s="12" t="inlineStr">
        <is>
          <t>/</t>
        </is>
      </c>
      <c r="G23" s="13" t="inlineStr">
        <is>
          <t>月</t>
        </is>
      </c>
      <c r="H23" s="43">
        <f>I23*E23</f>
        <v/>
      </c>
      <c r="I23" s="15">
        <f>IF(G23="月",$R$16,IF(G23="週",$S$16,$T$16))</f>
        <v/>
      </c>
      <c r="R23" s="1" t="n"/>
      <c r="S23" s="1" t="n"/>
      <c r="T23" s="1" t="n"/>
    </row>
    <row r="24" hidden="1">
      <c r="B24" s="53" t="n"/>
      <c r="C24" s="18" t="inlineStr">
        <is>
          <t>主要外業務</t>
        </is>
      </c>
      <c r="D24" s="26" t="n"/>
      <c r="E24" s="16" t="n"/>
      <c r="F24" s="12" t="inlineStr">
        <is>
          <t>/</t>
        </is>
      </c>
      <c r="G24" s="13" t="inlineStr">
        <is>
          <t>月</t>
        </is>
      </c>
      <c r="H24" s="43">
        <f>I24*E24</f>
        <v/>
      </c>
      <c r="I24" s="15">
        <f>IF(G24="月",$R$16,IF(G24="週",$S$16,$T$16))</f>
        <v/>
      </c>
      <c r="R24" s="1" t="n"/>
      <c r="S24" s="1" t="n"/>
      <c r="T24" s="1" t="n"/>
    </row>
    <row r="25" hidden="1">
      <c r="B25" s="53" t="n"/>
      <c r="C25" s="18" t="inlineStr">
        <is>
          <t>主要外業務</t>
        </is>
      </c>
      <c r="D25" s="26" t="n"/>
      <c r="E25" s="16" t="n"/>
      <c r="F25" s="12" t="inlineStr">
        <is>
          <t>/</t>
        </is>
      </c>
      <c r="G25" s="13" t="inlineStr">
        <is>
          <t>月</t>
        </is>
      </c>
      <c r="H25" s="43">
        <f>I25*E25</f>
        <v/>
      </c>
      <c r="I25" s="15">
        <f>IF(G25="月",$R$16,IF(G25="週",$S$16,$T$16))</f>
        <v/>
      </c>
      <c r="R25" s="1" t="n"/>
      <c r="S25" s="1" t="n"/>
      <c r="T25" s="1" t="n"/>
    </row>
    <row r="26" hidden="1">
      <c r="B26" s="53" t="n"/>
      <c r="C26" s="18" t="inlineStr">
        <is>
          <t>主要外業務</t>
        </is>
      </c>
      <c r="D26" s="26" t="n"/>
      <c r="E26" s="16" t="n"/>
      <c r="F26" s="12" t="inlineStr">
        <is>
          <t>/</t>
        </is>
      </c>
      <c r="G26" s="13" t="inlineStr">
        <is>
          <t>月</t>
        </is>
      </c>
      <c r="H26" s="43">
        <f>I26*E26</f>
        <v/>
      </c>
      <c r="I26" s="15">
        <f>IF(G26="月",$R$16,IF(G26="週",$S$16,$T$16))</f>
        <v/>
      </c>
      <c r="R26" s="1" t="n"/>
      <c r="S26" s="1" t="n"/>
      <c r="T26" s="1" t="n"/>
    </row>
    <row r="27" hidden="1">
      <c r="B27" s="53" t="n"/>
      <c r="C27" s="18" t="inlineStr">
        <is>
          <t>主要外業務</t>
        </is>
      </c>
      <c r="D27" s="10" t="n"/>
      <c r="E27" s="11" t="n"/>
      <c r="F27" s="12" t="inlineStr">
        <is>
          <t>/</t>
        </is>
      </c>
      <c r="G27" s="13" t="inlineStr">
        <is>
          <t>月</t>
        </is>
      </c>
      <c r="H27" s="43">
        <f>I27*E27</f>
        <v/>
      </c>
      <c r="I27" s="15">
        <f>IF(G27="月",$R$16,IF(G27="週",$S$16,$T$16))</f>
        <v/>
      </c>
      <c r="R27" s="1" t="n"/>
      <c r="S27" s="1" t="n"/>
      <c r="T27" s="1" t="n"/>
    </row>
    <row r="28" hidden="1">
      <c r="B28" s="53" t="n"/>
      <c r="C28" s="18" t="inlineStr">
        <is>
          <t>主要外業務</t>
        </is>
      </c>
      <c r="D28" s="27" t="n"/>
      <c r="E28" s="28" t="n"/>
      <c r="F28" s="12" t="inlineStr">
        <is>
          <t>/</t>
        </is>
      </c>
      <c r="G28" s="13" t="inlineStr">
        <is>
          <t>月</t>
        </is>
      </c>
      <c r="H28" s="43">
        <f>I28*E28</f>
        <v/>
      </c>
      <c r="I28" s="15">
        <f>IF(G28="月",$R$16,IF(G28="週",$S$16,$T$16))</f>
        <v/>
      </c>
      <c r="R28" s="1" t="n"/>
      <c r="S28" s="1" t="n"/>
      <c r="T28" s="1" t="n"/>
    </row>
    <row r="29" hidden="1">
      <c r="B29" s="53" t="n"/>
      <c r="C29" s="18" t="inlineStr">
        <is>
          <t>主要外業務</t>
        </is>
      </c>
      <c r="D29" s="26" t="n"/>
      <c r="E29" s="16" t="n"/>
      <c r="F29" s="12" t="inlineStr">
        <is>
          <t>/</t>
        </is>
      </c>
      <c r="G29" s="13" t="inlineStr">
        <is>
          <t>月</t>
        </is>
      </c>
      <c r="H29" s="43">
        <f>I29*E29</f>
        <v/>
      </c>
      <c r="I29" s="15">
        <f>IF(G29="月",$R$16,IF(G29="週",$S$16,$T$16))</f>
        <v/>
      </c>
      <c r="R29" s="1" t="n"/>
      <c r="S29" s="1" t="n"/>
      <c r="T29" s="1" t="n"/>
    </row>
    <row r="30" hidden="1">
      <c r="B30" s="54" t="n"/>
      <c r="C30" s="18" t="n"/>
      <c r="D30" s="26" t="n"/>
      <c r="E30" s="16" t="n"/>
      <c r="F30" s="12" t="inlineStr">
        <is>
          <t>/</t>
        </is>
      </c>
      <c r="G30" s="13" t="inlineStr">
        <is>
          <t>月</t>
        </is>
      </c>
      <c r="H30" s="43">
        <f>I30*E30</f>
        <v/>
      </c>
      <c r="I30" s="15">
        <f>IF(G30="月",$R$16,IF(G30="週",$S$16,$T$16))</f>
        <v/>
      </c>
      <c r="R30" s="1" t="n"/>
      <c r="S30" s="1" t="n"/>
      <c r="T30" s="1" t="n"/>
    </row>
    <row r="31">
      <c r="B31" s="47" t="inlineStr">
        <is>
          <t>主体業務
コア業務</t>
        </is>
      </c>
      <c r="C31" s="29" t="inlineStr">
        <is>
          <t>主体業務</t>
        </is>
      </c>
      <c r="D31" s="10" t="inlineStr">
        <is>
          <t>生産表</t>
        </is>
      </c>
      <c r="E31" s="16" t="n">
        <v>0.26</v>
      </c>
      <c r="F31" s="17" t="inlineStr">
        <is>
          <t>/</t>
        </is>
      </c>
      <c r="G31" s="13" t="inlineStr">
        <is>
          <t>月</t>
        </is>
      </c>
      <c r="H31" s="48">
        <f>I31*E31</f>
        <v/>
      </c>
      <c r="I31" s="15">
        <f>IF(G31="月",$R$16,IF(G31="週",$S$16,$T$16))</f>
        <v/>
      </c>
      <c r="R31" s="1" t="n"/>
      <c r="S31" s="1" t="n"/>
      <c r="T31" s="1" t="n"/>
    </row>
    <row r="32">
      <c r="B32" s="53" t="n"/>
      <c r="C32" s="29" t="inlineStr">
        <is>
          <t>主体業務</t>
        </is>
      </c>
      <c r="D32" s="10" t="inlineStr">
        <is>
          <t>標準作業書</t>
        </is>
      </c>
      <c r="E32" s="11" t="n">
        <v>1.95</v>
      </c>
      <c r="F32" s="12" t="inlineStr">
        <is>
          <t>/</t>
        </is>
      </c>
      <c r="G32" s="13" t="inlineStr">
        <is>
          <t>月</t>
        </is>
      </c>
      <c r="H32" s="48">
        <f>I32*E32</f>
        <v/>
      </c>
      <c r="I32" s="15">
        <f>IF(G32="月",$R$16,IF(G32="週",$S$16,$T$16))</f>
        <v/>
      </c>
      <c r="R32" s="1" t="n"/>
      <c r="S32" s="1" t="n"/>
      <c r="T32" s="1" t="n"/>
    </row>
    <row r="33" ht="19.5" customHeight="1" thickBot="1">
      <c r="B33" s="53" t="n"/>
      <c r="C33" s="29" t="inlineStr">
        <is>
          <t>主体業務</t>
        </is>
      </c>
      <c r="D33" s="10" t="inlineStr">
        <is>
          <t>治具出し</t>
        </is>
      </c>
      <c r="E33" s="11" t="n">
        <v>0.31</v>
      </c>
      <c r="F33" s="12" t="inlineStr">
        <is>
          <t>/</t>
        </is>
      </c>
      <c r="G33" s="13" t="inlineStr">
        <is>
          <t>月</t>
        </is>
      </c>
      <c r="H33" s="48">
        <f>I33*E33</f>
        <v/>
      </c>
      <c r="I33" s="15">
        <f>IF(G33="月",$R$16,IF(G33="週",$S$16,$T$16))</f>
        <v/>
      </c>
      <c r="R33" s="1" t="n"/>
      <c r="S33" s="1" t="n"/>
      <c r="T33" s="1" t="n"/>
    </row>
    <row r="34" hidden="1" ht="19.5" customHeight="1" thickBot="1">
      <c r="B34" s="53" t="n"/>
      <c r="C34" s="29" t="inlineStr">
        <is>
          <t>主体業務</t>
        </is>
      </c>
      <c r="D34" s="10" t="n"/>
      <c r="E34" s="11" t="n"/>
      <c r="F34" s="12" t="inlineStr">
        <is>
          <t>/</t>
        </is>
      </c>
      <c r="G34" s="13" t="inlineStr">
        <is>
          <t>月</t>
        </is>
      </c>
      <c r="H34" s="48">
        <f>I34*E34</f>
        <v/>
      </c>
      <c r="I34" s="15">
        <f>IF(G34="月",$R$16,IF(G34="週",$S$16,$T$16))</f>
        <v/>
      </c>
      <c r="R34" s="1" t="n"/>
      <c r="S34" s="1" t="n"/>
      <c r="T34" s="1" t="n"/>
    </row>
    <row r="35" hidden="1" ht="19.5" customHeight="1" thickBot="1">
      <c r="B35" s="53" t="n"/>
      <c r="C35" s="29" t="inlineStr">
        <is>
          <t>主体業務</t>
        </is>
      </c>
      <c r="D35" s="10" t="n"/>
      <c r="E35" s="11" t="n"/>
      <c r="F35" s="12" t="inlineStr">
        <is>
          <t>/</t>
        </is>
      </c>
      <c r="G35" s="13" t="inlineStr">
        <is>
          <t>月</t>
        </is>
      </c>
      <c r="H35" s="48">
        <f>I35*E35</f>
        <v/>
      </c>
      <c r="I35" s="15">
        <f>IF(G35="月",$R$16,IF(G35="週",$S$16,$T$16))</f>
        <v/>
      </c>
      <c r="R35" s="1" t="n"/>
      <c r="S35" s="1" t="n"/>
      <c r="T35" s="1" t="n"/>
    </row>
    <row r="36" hidden="1" ht="19.5" customHeight="1" thickBot="1">
      <c r="B36" s="53" t="n"/>
      <c r="C36" s="29" t="inlineStr">
        <is>
          <t>主体業務</t>
        </is>
      </c>
      <c r="D36" s="10" t="n"/>
      <c r="E36" s="11" t="n"/>
      <c r="F36" s="12" t="inlineStr">
        <is>
          <t>/</t>
        </is>
      </c>
      <c r="G36" s="13" t="inlineStr">
        <is>
          <t>月</t>
        </is>
      </c>
      <c r="H36" s="48">
        <f>I36*E36</f>
        <v/>
      </c>
      <c r="I36" s="15">
        <f>IF(G36="月",$R$16,IF(G36="週",$S$16,$T$16))</f>
        <v/>
      </c>
      <c r="R36" s="1" t="n"/>
      <c r="S36" s="1" t="n"/>
      <c r="T36" s="1" t="n"/>
    </row>
    <row r="37" hidden="1" ht="19.5" customHeight="1" thickBot="1">
      <c r="B37" s="53" t="n"/>
      <c r="C37" s="29" t="inlineStr">
        <is>
          <t>主体業務</t>
        </is>
      </c>
      <c r="D37" s="10" t="n"/>
      <c r="E37" s="11" t="n"/>
      <c r="F37" s="12" t="inlineStr">
        <is>
          <t>/</t>
        </is>
      </c>
      <c r="G37" s="13" t="inlineStr">
        <is>
          <t>月</t>
        </is>
      </c>
      <c r="H37" s="48">
        <f>I37*E37</f>
        <v/>
      </c>
      <c r="I37" s="15">
        <f>IF(G37="月",$R$16,IF(G37="週",$S$16,$T$16))</f>
        <v/>
      </c>
      <c r="R37" s="1" t="n"/>
      <c r="S37" s="1" t="n"/>
      <c r="T37" s="1" t="n"/>
    </row>
    <row r="38" hidden="1" ht="19.5" customHeight="1" thickBot="1">
      <c r="B38" s="53" t="n"/>
      <c r="C38" s="29" t="inlineStr">
        <is>
          <t>主体業務</t>
        </is>
      </c>
      <c r="D38" s="27" t="n"/>
      <c r="E38" s="28" t="n"/>
      <c r="F38" s="12" t="inlineStr">
        <is>
          <t>/</t>
        </is>
      </c>
      <c r="G38" s="13" t="inlineStr">
        <is>
          <t>月</t>
        </is>
      </c>
      <c r="H38" s="48">
        <f>I38*E38</f>
        <v/>
      </c>
      <c r="I38" s="15">
        <f>IF(G38="月",$R$16,IF(G38="週",$S$16,$T$16))</f>
        <v/>
      </c>
      <c r="R38" s="1" t="n"/>
      <c r="S38" s="1" t="n"/>
      <c r="T38" s="1" t="n"/>
    </row>
    <row r="39" hidden="1" ht="19.5" customHeight="1" thickBot="1">
      <c r="B39" s="53" t="n"/>
      <c r="C39" s="29" t="inlineStr">
        <is>
          <t>主体業務</t>
        </is>
      </c>
      <c r="D39" s="27" t="n"/>
      <c r="E39" s="28" t="n"/>
      <c r="F39" s="12" t="inlineStr">
        <is>
          <t>/</t>
        </is>
      </c>
      <c r="G39" s="13" t="inlineStr">
        <is>
          <t>月</t>
        </is>
      </c>
      <c r="H39" s="48">
        <f>I39*E39</f>
        <v/>
      </c>
      <c r="I39" s="15">
        <f>IF(G39="月",$R$16,IF(G39="週",$S$16,$T$16))</f>
        <v/>
      </c>
      <c r="R39" s="1" t="n"/>
      <c r="S39" s="1" t="n"/>
      <c r="T39" s="1" t="n"/>
    </row>
    <row r="40" hidden="1" ht="19.5" customHeight="1" thickBot="1">
      <c r="B40" s="53" t="n"/>
      <c r="C40" s="29" t="inlineStr">
        <is>
          <t>主体業務</t>
        </is>
      </c>
      <c r="D40" s="27" t="n"/>
      <c r="E40" s="28" t="n"/>
      <c r="F40" s="12" t="inlineStr">
        <is>
          <t>/</t>
        </is>
      </c>
      <c r="G40" s="13" t="inlineStr">
        <is>
          <t>月</t>
        </is>
      </c>
      <c r="H40" s="48">
        <f>I40*E40</f>
        <v/>
      </c>
      <c r="I40" s="15">
        <f>IF(G40="月",$R$16,IF(G40="週",$S$16,$T$16))</f>
        <v/>
      </c>
      <c r="R40" s="1" t="n"/>
      <c r="S40" s="1" t="n"/>
      <c r="T40" s="1" t="n"/>
    </row>
    <row r="41" hidden="1" ht="19.5" customHeight="1" thickBot="1">
      <c r="B41" s="53" t="n"/>
      <c r="C41" s="29" t="inlineStr">
        <is>
          <t>主体業務</t>
        </is>
      </c>
      <c r="D41" s="27" t="n"/>
      <c r="E41" s="28" t="n"/>
      <c r="F41" s="12" t="inlineStr">
        <is>
          <t>/</t>
        </is>
      </c>
      <c r="G41" s="13" t="inlineStr">
        <is>
          <t>月</t>
        </is>
      </c>
      <c r="H41" s="48">
        <f>I41*E41</f>
        <v/>
      </c>
      <c r="I41" s="15">
        <f>IF(G41="月",$R$16,IF(G41="週",$S$16,$T$16))</f>
        <v/>
      </c>
      <c r="R41" s="1" t="n"/>
      <c r="S41" s="1" t="n"/>
      <c r="T41" s="1" t="n"/>
    </row>
    <row r="42" hidden="1" ht="19.5" customHeight="1" thickBot="1">
      <c r="B42" s="53" t="n"/>
      <c r="C42" s="29" t="inlineStr">
        <is>
          <t>主体業務</t>
        </is>
      </c>
      <c r="D42" s="27" t="n"/>
      <c r="E42" s="28" t="n"/>
      <c r="F42" s="12" t="inlineStr">
        <is>
          <t>/</t>
        </is>
      </c>
      <c r="G42" s="13" t="inlineStr">
        <is>
          <t>月</t>
        </is>
      </c>
      <c r="H42" s="48">
        <f>I42*E42</f>
        <v/>
      </c>
      <c r="I42" s="15">
        <f>IF(G42="月",$R$16,IF(G42="週",$S$16,$T$16))</f>
        <v/>
      </c>
      <c r="R42" s="1" t="n"/>
      <c r="S42" s="1" t="n"/>
      <c r="T42" s="1" t="n"/>
    </row>
    <row r="43" hidden="1" ht="19.5" customHeight="1" thickBot="1">
      <c r="B43" s="54" t="n"/>
      <c r="C43" s="31" t="n"/>
      <c r="D43" s="27" t="n"/>
      <c r="E43" s="28" t="n"/>
      <c r="F43" s="12" t="inlineStr">
        <is>
          <t>/</t>
        </is>
      </c>
      <c r="G43" s="13" t="inlineStr">
        <is>
          <t>月</t>
        </is>
      </c>
      <c r="H43" s="48">
        <f>I43*E43</f>
        <v/>
      </c>
      <c r="I43" s="15">
        <f>IF(G43="月",$R$16,IF(G43="週",$S$16,$T$16))</f>
        <v/>
      </c>
      <c r="R43" s="1" t="n"/>
      <c r="S43" s="1" t="n"/>
      <c r="T43" s="1" t="n"/>
    </row>
    <row r="44" ht="24.75" customHeight="1" thickTop="1">
      <c r="A44" s="32" t="n"/>
      <c r="B44" s="32" t="n"/>
      <c r="C44" s="49" t="inlineStr">
        <is>
          <t>合計</t>
        </is>
      </c>
      <c r="D44" s="55" t="n"/>
      <c r="E44" s="55" t="n"/>
      <c r="F44" s="55" t="n"/>
      <c r="G44" s="56" t="n"/>
      <c r="H44" s="33">
        <f>SUM(H3:H43)</f>
        <v/>
      </c>
      <c r="I44" s="34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4" t="n"/>
      <c r="S44" s="34" t="n"/>
      <c r="T44" s="34" t="n"/>
      <c r="U44" s="32" t="n"/>
    </row>
    <row r="45" ht="24" customHeight="1">
      <c r="A45" s="32" t="n"/>
      <c r="B45" s="32" t="n"/>
      <c r="C45" s="50" t="inlineStr">
        <is>
          <t>実際の勤務時間</t>
        </is>
      </c>
      <c r="D45" s="57" t="n"/>
      <c r="E45" s="57" t="n"/>
      <c r="F45" s="57" t="n"/>
      <c r="G45" s="58" t="n"/>
      <c r="H45" s="50" t="n">
        <v>9.66</v>
      </c>
      <c r="I45" s="36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6" t="n"/>
      <c r="S45" s="36" t="n"/>
      <c r="T45" s="36" t="n"/>
      <c r="U45" s="32" t="n"/>
    </row>
    <row r="46" ht="24" customHeight="1">
      <c r="A46" s="32" t="n"/>
      <c r="B46" s="32" t="n"/>
      <c r="C46" s="39" t="inlineStr">
        <is>
          <t>比率</t>
        </is>
      </c>
      <c r="D46" s="57" t="n"/>
      <c r="E46" s="57" t="n"/>
      <c r="F46" s="57" t="n"/>
      <c r="G46" s="58" t="n"/>
      <c r="H46" s="37">
        <f>H44/H45</f>
        <v/>
      </c>
      <c r="I46" s="59" t="n"/>
      <c r="J46" s="32" t="n"/>
      <c r="K46" s="32" t="n"/>
      <c r="L46" s="32" t="n"/>
      <c r="M46" s="32" t="n"/>
      <c r="N46" s="32" t="n"/>
      <c r="O46" s="32" t="n"/>
      <c r="P46" s="32" t="n"/>
      <c r="Q46" s="32" t="n"/>
      <c r="R46" s="59" t="n"/>
      <c r="S46" s="59" t="n"/>
      <c r="T46" s="59" t="n"/>
      <c r="U46" s="32" t="n"/>
    </row>
    <row r="47">
      <c r="E47" s="1" t="n"/>
      <c r="F47" s="1" t="n"/>
      <c r="G47" s="1" t="n"/>
      <c r="R47" s="1" t="n"/>
      <c r="S47" s="1" t="n"/>
      <c r="T47" s="1" t="n"/>
    </row>
  </sheetData>
  <mergeCells count="7">
    <mergeCell ref="B31:B43"/>
    <mergeCell ref="R15:T15"/>
    <mergeCell ref="C46:G46"/>
    <mergeCell ref="C44:G44"/>
    <mergeCell ref="C45:G45"/>
    <mergeCell ref="B3:B14"/>
    <mergeCell ref="B15:B30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codeName="Sheet13">
    <outlinePr summaryBelow="1" summaryRight="1"/>
    <pageSetUpPr/>
  </sheetPr>
  <dimension ref="A1:U47"/>
  <sheetViews>
    <sheetView topLeftCell="C1" zoomScaleNormal="100" workbookViewId="0">
      <selection activeCell="E3" sqref="E3"/>
    </sheetView>
  </sheetViews>
  <sheetFormatPr baseColWidth="8" defaultColWidth="8.875" defaultRowHeight="18.75"/>
  <cols>
    <col width="13.375" customWidth="1" min="1" max="1"/>
    <col width="17.875" customWidth="1" min="2" max="2"/>
    <col width="14.625" customWidth="1" min="3" max="3"/>
    <col width="35" customWidth="1" min="4" max="4"/>
    <col width="6.125" customWidth="1" min="5" max="5"/>
    <col width="2.125" customWidth="1" min="6" max="6"/>
    <col width="5.5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1">
      <c r="E1" s="1" t="n"/>
      <c r="F1" s="1" t="n"/>
      <c r="G1" s="1" t="n"/>
      <c r="R1" s="1" t="n"/>
      <c r="S1" s="1" t="n"/>
      <c r="T1" s="1" t="n"/>
    </row>
    <row r="2" ht="56.25" customHeight="1">
      <c r="C2" s="2" t="n"/>
      <c r="D2" s="3" t="inlineStr">
        <is>
          <t>業務内容・・・（例）</t>
        </is>
      </c>
      <c r="E2" s="4" t="inlineStr">
        <is>
          <t>業務
時間
（h）</t>
        </is>
      </c>
      <c r="F2" s="5" t="inlineStr">
        <is>
          <t>/</t>
        </is>
      </c>
      <c r="G2" s="6" t="inlineStr">
        <is>
          <t>単位</t>
        </is>
      </c>
      <c r="H2" s="7" t="inlineStr">
        <is>
          <t>１ヵ月あたりの時間
(h）</t>
        </is>
      </c>
      <c r="I2" s="8" t="n"/>
      <c r="R2" s="1" t="n"/>
      <c r="S2" s="1" t="n"/>
      <c r="T2" s="1" t="n"/>
    </row>
    <row r="3">
      <c r="B3" s="40" t="inlineStr">
        <is>
          <t>削減可能業務</t>
        </is>
      </c>
      <c r="C3" s="9" t="inlineStr">
        <is>
          <t>非定常業務</t>
        </is>
      </c>
      <c r="D3" s="10" t="inlineStr">
        <is>
          <t>品質確認</t>
        </is>
      </c>
      <c r="E3" s="11" t="n">
        <v>4.25</v>
      </c>
      <c r="F3" s="12" t="inlineStr">
        <is>
          <t>/</t>
        </is>
      </c>
      <c r="G3" s="13" t="inlineStr">
        <is>
          <t>月</t>
        </is>
      </c>
      <c r="H3" s="41">
        <f>I3*E3</f>
        <v/>
      </c>
      <c r="I3" s="15">
        <f>IF(G3="月",$R$16,IF(G3="週",$S$16,$T$16))</f>
        <v/>
      </c>
    </row>
    <row r="4" ht="19.5" customHeight="1" thickBot="1">
      <c r="B4" s="53" t="n"/>
      <c r="C4" s="9" t="inlineStr">
        <is>
          <t>非定常業務</t>
        </is>
      </c>
      <c r="D4" s="10" t="inlineStr">
        <is>
          <t>手直し</t>
        </is>
      </c>
      <c r="E4" s="11" t="n">
        <v>1.71</v>
      </c>
      <c r="F4" s="12" t="inlineStr">
        <is>
          <t>/</t>
        </is>
      </c>
      <c r="G4" s="13" t="inlineStr">
        <is>
          <t>月</t>
        </is>
      </c>
      <c r="H4" s="41">
        <f>I4*E4</f>
        <v/>
      </c>
      <c r="I4" s="15">
        <f>IF(G4="月",$R$16,IF(G4="週",$S$16,$T$16))</f>
        <v/>
      </c>
    </row>
    <row r="5" hidden="1" ht="19.5" customHeight="1" thickBot="1">
      <c r="B5" s="53" t="n"/>
      <c r="C5" s="9" t="inlineStr">
        <is>
          <t>非定常業務</t>
        </is>
      </c>
      <c r="D5" s="10" t="n"/>
      <c r="E5" s="11" t="n"/>
      <c r="F5" s="12" t="inlineStr">
        <is>
          <t>/</t>
        </is>
      </c>
      <c r="G5" s="13" t="inlineStr">
        <is>
          <t>月</t>
        </is>
      </c>
      <c r="H5" s="41">
        <f>I5*E5</f>
        <v/>
      </c>
      <c r="I5" s="15">
        <f>IF(G5="月",$R$16,IF(G5="週",$S$16,$T$16))</f>
        <v/>
      </c>
    </row>
    <row r="6" hidden="1" ht="19.5" customHeight="1" thickBot="1">
      <c r="B6" s="53" t="n"/>
      <c r="C6" s="9" t="inlineStr">
        <is>
          <t>非定常業務</t>
        </is>
      </c>
      <c r="D6" s="10" t="n"/>
      <c r="E6" s="11" t="n"/>
      <c r="F6" s="12" t="inlineStr">
        <is>
          <t>/</t>
        </is>
      </c>
      <c r="G6" s="13" t="inlineStr">
        <is>
          <t>月</t>
        </is>
      </c>
      <c r="H6" s="41">
        <f>I6*E6</f>
        <v/>
      </c>
      <c r="I6" s="15">
        <f>IF(G6="月",$R$16,IF(G6="週",$S$16,$T$16))</f>
        <v/>
      </c>
    </row>
    <row r="7" hidden="1" ht="19.5" customHeight="1" thickBot="1">
      <c r="B7" s="53" t="n"/>
      <c r="C7" s="9" t="inlineStr">
        <is>
          <t>非定常業務</t>
        </is>
      </c>
      <c r="D7" s="10" t="n"/>
      <c r="E7" s="11" t="n"/>
      <c r="F7" s="12" t="inlineStr">
        <is>
          <t>/</t>
        </is>
      </c>
      <c r="G7" s="13" t="inlineStr">
        <is>
          <t>月</t>
        </is>
      </c>
      <c r="H7" s="41">
        <f>I7*E7</f>
        <v/>
      </c>
      <c r="I7" s="15">
        <f>IF(G7="月",$R$16,IF(G7="週",$S$16,$T$16))</f>
        <v/>
      </c>
    </row>
    <row r="8" hidden="1" ht="19.5" customHeight="1" thickBot="1">
      <c r="B8" s="53" t="n"/>
      <c r="C8" s="9" t="inlineStr">
        <is>
          <t>非定常業務</t>
        </is>
      </c>
      <c r="D8" s="10" t="n"/>
      <c r="E8" s="11" t="n"/>
      <c r="F8" s="12" t="inlineStr">
        <is>
          <t>/</t>
        </is>
      </c>
      <c r="G8" s="13" t="inlineStr">
        <is>
          <t>月</t>
        </is>
      </c>
      <c r="H8" s="41">
        <f>I8*E8</f>
        <v/>
      </c>
      <c r="I8" s="15">
        <f>IF(G8="月",$R$16,IF(G8="週",$S$16,$T$16))</f>
        <v/>
      </c>
      <c r="R8" s="1" t="n"/>
      <c r="S8" s="1" t="n"/>
      <c r="T8" s="1" t="n"/>
    </row>
    <row r="9" hidden="1" ht="19.5" customHeight="1" thickBot="1">
      <c r="B9" s="53" t="n"/>
      <c r="C9" s="9" t="inlineStr">
        <is>
          <t>非定常業務</t>
        </is>
      </c>
      <c r="D9" s="10" t="n"/>
      <c r="E9" s="11" t="n"/>
      <c r="F9" s="12" t="inlineStr">
        <is>
          <t>/</t>
        </is>
      </c>
      <c r="G9" s="13" t="inlineStr">
        <is>
          <t>月</t>
        </is>
      </c>
      <c r="H9" s="41">
        <f>I9*E9</f>
        <v/>
      </c>
      <c r="I9" s="15">
        <f>IF(G9="月",$R$16,IF(G9="週",$S$16,$T$16))</f>
        <v/>
      </c>
      <c r="R9" s="1" t="n"/>
      <c r="S9" s="1" t="n"/>
      <c r="T9" s="1" t="n"/>
    </row>
    <row r="10" hidden="1" ht="19.5" customHeight="1" thickBot="1">
      <c r="B10" s="53" t="n"/>
      <c r="C10" s="9" t="inlineStr">
        <is>
          <t>非定常業務</t>
        </is>
      </c>
      <c r="D10" s="10" t="n"/>
      <c r="E10" s="16" t="n"/>
      <c r="F10" s="17" t="inlineStr">
        <is>
          <t>/</t>
        </is>
      </c>
      <c r="G10" s="13" t="inlineStr">
        <is>
          <t>月</t>
        </is>
      </c>
      <c r="H10" s="41">
        <f>I10*E10</f>
        <v/>
      </c>
      <c r="I10" s="15">
        <f>IF(G10="月",$R$16,IF(G10="週",$S$16,$T$16))</f>
        <v/>
      </c>
      <c r="R10" s="1" t="n"/>
      <c r="S10" s="1" t="n"/>
      <c r="T10" s="1" t="n"/>
    </row>
    <row r="11" hidden="1" ht="19.5" customHeight="1" thickBot="1">
      <c r="B11" s="53" t="n"/>
      <c r="C11" s="9" t="inlineStr">
        <is>
          <t>非定常業務</t>
        </is>
      </c>
      <c r="D11" s="10" t="n"/>
      <c r="E11" s="11" t="n"/>
      <c r="F11" s="12" t="inlineStr">
        <is>
          <t>/</t>
        </is>
      </c>
      <c r="G11" s="13" t="inlineStr">
        <is>
          <t>月</t>
        </is>
      </c>
      <c r="H11" s="41">
        <f>I11*E11</f>
        <v/>
      </c>
      <c r="I11" s="15">
        <f>IF(G11="月",$R$16,IF(G11="週",$S$16,$T$16))</f>
        <v/>
      </c>
      <c r="R11" s="1" t="n"/>
      <c r="S11" s="1" t="n"/>
      <c r="T11" s="1" t="n"/>
    </row>
    <row r="12" hidden="1" ht="19.5" customHeight="1" thickBot="1">
      <c r="B12" s="53" t="n"/>
      <c r="C12" s="9" t="inlineStr">
        <is>
          <t>非定常業務</t>
        </is>
      </c>
      <c r="D12" s="10" t="n"/>
      <c r="E12" s="11" t="n"/>
      <c r="F12" s="12" t="inlineStr">
        <is>
          <t>/</t>
        </is>
      </c>
      <c r="G12" s="13" t="inlineStr">
        <is>
          <t>月</t>
        </is>
      </c>
      <c r="H12" s="41">
        <f>I12*E12</f>
        <v/>
      </c>
      <c r="I12" s="15">
        <f>IF(G12="月",$R$16,IF(G12="週",$S$16,$T$16))</f>
        <v/>
      </c>
      <c r="R12" s="1" t="n"/>
      <c r="S12" s="1" t="n"/>
      <c r="T12" s="1" t="n"/>
    </row>
    <row r="13" hidden="1" ht="19.5" customHeight="1" thickBot="1">
      <c r="B13" s="53" t="n"/>
      <c r="C13" s="9" t="inlineStr">
        <is>
          <t>非定常業務</t>
        </is>
      </c>
      <c r="D13" s="10" t="n"/>
      <c r="E13" s="11" t="n"/>
      <c r="F13" s="12" t="inlineStr">
        <is>
          <t>/</t>
        </is>
      </c>
      <c r="G13" s="13" t="inlineStr">
        <is>
          <t>月</t>
        </is>
      </c>
      <c r="H13" s="41">
        <f>I13*E13</f>
        <v/>
      </c>
      <c r="I13" s="15">
        <f>IF(G13="月",$R$16,IF(G13="週",$S$16,$T$16))</f>
        <v/>
      </c>
      <c r="R13" s="1" t="n"/>
      <c r="S13" s="1" t="n"/>
      <c r="T13" s="1" t="n"/>
    </row>
    <row r="14" hidden="1" ht="19.5" customHeight="1" thickBot="1">
      <c r="B14" s="54" t="n"/>
      <c r="C14" s="9" t="n"/>
      <c r="D14" s="10" t="n"/>
      <c r="E14" s="11" t="n"/>
      <c r="F14" s="12" t="inlineStr">
        <is>
          <t>/</t>
        </is>
      </c>
      <c r="G14" s="13" t="inlineStr">
        <is>
          <t>月</t>
        </is>
      </c>
      <c r="H14" s="41">
        <f>I14*E14</f>
        <v/>
      </c>
      <c r="I14" s="15">
        <f>IF(G14="月",$R$16,IF(G14="週",$S$16,$T$16))</f>
        <v/>
      </c>
      <c r="R14" s="1" t="n"/>
      <c r="S14" s="1" t="n"/>
      <c r="T14" s="1" t="n"/>
    </row>
    <row r="15" ht="19.5" customHeight="1" thickBot="1">
      <c r="B15" s="42" t="inlineStr">
        <is>
          <t>付帯業務
ノンコア業務</t>
        </is>
      </c>
      <c r="C15" s="18" t="inlineStr">
        <is>
          <t>主要外業務</t>
        </is>
      </c>
      <c r="D15" s="10" t="inlineStr">
        <is>
          <t>ラジオ体操挨拶</t>
        </is>
      </c>
      <c r="E15" s="11" t="n">
        <v>0.59</v>
      </c>
      <c r="F15" s="12" t="inlineStr">
        <is>
          <t>/</t>
        </is>
      </c>
      <c r="G15" s="13" t="inlineStr">
        <is>
          <t>月</t>
        </is>
      </c>
      <c r="H15" s="43">
        <f>I15*E15</f>
        <v/>
      </c>
      <c r="I15" s="15">
        <f>IF(G15="月",$R$16,IF(G15="週",$S$16,$T$16))</f>
        <v/>
      </c>
      <c r="K15" s="20" t="inlineStr">
        <is>
          <t>削減可能業務</t>
        </is>
      </c>
      <c r="L15">
        <f>SUM(H3:H14)</f>
        <v/>
      </c>
      <c r="R15" s="44" t="inlineStr">
        <is>
          <t>掛け数</t>
        </is>
      </c>
      <c r="S15" s="51" t="n"/>
      <c r="T15" s="52" t="n"/>
    </row>
    <row r="16" ht="19.5" customHeight="1" thickBot="1">
      <c r="B16" s="53" t="n"/>
      <c r="C16" s="18" t="inlineStr">
        <is>
          <t>主要外業務</t>
        </is>
      </c>
      <c r="D16" s="10" t="inlineStr">
        <is>
          <t>研修報告書</t>
        </is>
      </c>
      <c r="E16" s="11" t="n">
        <v>1</v>
      </c>
      <c r="F16" s="12" t="inlineStr">
        <is>
          <t>/</t>
        </is>
      </c>
      <c r="G16" s="13" t="inlineStr">
        <is>
          <t>月</t>
        </is>
      </c>
      <c r="H16" s="43">
        <f>I16*E16</f>
        <v/>
      </c>
      <c r="I16" s="15">
        <f>IF(G16="月",$R$16,IF(G16="週",$S$16,$T$16))</f>
        <v/>
      </c>
      <c r="K16" s="21" t="inlineStr">
        <is>
          <t xml:space="preserve">付帯業務　</t>
        </is>
      </c>
      <c r="L16">
        <f>SUM(H15:H30)</f>
        <v/>
      </c>
      <c r="R16" s="22" t="n">
        <v>1</v>
      </c>
      <c r="S16" s="23" t="n">
        <v>4</v>
      </c>
      <c r="T16" s="24" t="n">
        <v>20</v>
      </c>
    </row>
    <row r="17">
      <c r="B17" s="53" t="n"/>
      <c r="C17" s="18" t="inlineStr">
        <is>
          <t>主要外業務</t>
        </is>
      </c>
      <c r="D17" s="10" t="inlineStr">
        <is>
          <t>昼礼</t>
        </is>
      </c>
      <c r="E17" s="11" t="n">
        <v>0.12</v>
      </c>
      <c r="F17" s="12" t="inlineStr">
        <is>
          <t>/</t>
        </is>
      </c>
      <c r="G17" s="13" t="inlineStr">
        <is>
          <t>月</t>
        </is>
      </c>
      <c r="H17" s="43">
        <f>I17*E17</f>
        <v/>
      </c>
      <c r="I17" s="15">
        <f>IF(G17="月",$R$16,IF(G17="週",$S$16,$T$16))</f>
        <v/>
      </c>
      <c r="K17" s="25">
        <f>C31</f>
        <v/>
      </c>
      <c r="L17">
        <f>SUM(H31:H41)</f>
        <v/>
      </c>
      <c r="R17" s="1" t="n"/>
      <c r="S17" s="1" t="n"/>
      <c r="T17" s="1" t="n"/>
    </row>
    <row r="18">
      <c r="B18" s="53" t="n"/>
      <c r="C18" s="18" t="inlineStr">
        <is>
          <t>主要外業務</t>
        </is>
      </c>
      <c r="D18" s="10" t="inlineStr">
        <is>
          <t>5分掃除　トイレ掃除</t>
        </is>
      </c>
      <c r="E18" s="11" t="n">
        <v>0.45</v>
      </c>
      <c r="F18" s="12" t="inlineStr">
        <is>
          <t>/</t>
        </is>
      </c>
      <c r="G18" s="13" t="inlineStr">
        <is>
          <t>月</t>
        </is>
      </c>
      <c r="H18" s="43">
        <f>I18*E18</f>
        <v/>
      </c>
      <c r="I18" s="15">
        <f>IF(G18="月",$R$16,IF(G18="週",$S$16,$T$16))</f>
        <v/>
      </c>
      <c r="R18" t="inlineStr">
        <is>
          <t>毎日×20　⇒　１ヵ月あたり</t>
        </is>
      </c>
      <c r="S18" s="1" t="n"/>
      <c r="T18" s="1" t="n"/>
    </row>
    <row r="19">
      <c r="B19" s="53" t="n"/>
      <c r="C19" s="18" t="inlineStr">
        <is>
          <t>主要外業務</t>
        </is>
      </c>
      <c r="D19" s="26" t="inlineStr">
        <is>
          <t>残業確認</t>
        </is>
      </c>
      <c r="E19" s="11" t="n">
        <v>1.55</v>
      </c>
      <c r="F19" s="12" t="inlineStr">
        <is>
          <t>/</t>
        </is>
      </c>
      <c r="G19" s="13" t="inlineStr">
        <is>
          <t>月</t>
        </is>
      </c>
      <c r="H19" s="43">
        <f>I19*E19</f>
        <v/>
      </c>
      <c r="I19" s="15">
        <f>IF(G19="月",$R$16,IF(G19="週",$S$16,$T$16))</f>
        <v/>
      </c>
      <c r="R19" t="inlineStr">
        <is>
          <t>１週間あたりk×4  ⇒　１ヵ月あたり</t>
        </is>
      </c>
      <c r="S19" s="1" t="n"/>
      <c r="T19" s="1" t="n"/>
    </row>
    <row r="20">
      <c r="B20" s="53" t="n"/>
      <c r="C20" s="18" t="inlineStr">
        <is>
          <t>主要外業務</t>
        </is>
      </c>
      <c r="D20" s="26" t="inlineStr">
        <is>
          <t>現場（作業）</t>
        </is>
      </c>
      <c r="E20" s="11" t="n">
        <v>14.9</v>
      </c>
      <c r="F20" s="12" t="inlineStr">
        <is>
          <t>/</t>
        </is>
      </c>
      <c r="G20" s="13" t="inlineStr">
        <is>
          <t>月</t>
        </is>
      </c>
      <c r="H20" s="43">
        <f>I20*E20</f>
        <v/>
      </c>
      <c r="I20" s="15">
        <f>IF(G20="月",$R$16,IF(G20="週",$S$16,$T$16))</f>
        <v/>
      </c>
      <c r="R20" s="1" t="n"/>
      <c r="S20" s="1" t="n"/>
      <c r="T20" s="1" t="n"/>
    </row>
    <row r="21">
      <c r="B21" s="53" t="n"/>
      <c r="C21" s="18" t="inlineStr">
        <is>
          <t>主要外業務</t>
        </is>
      </c>
      <c r="D21" s="26" t="inlineStr">
        <is>
          <t>メール確認</t>
        </is>
      </c>
      <c r="E21" s="16" t="n">
        <v>0.29</v>
      </c>
      <c r="F21" s="12" t="inlineStr">
        <is>
          <t>/</t>
        </is>
      </c>
      <c r="G21" s="13" t="inlineStr">
        <is>
          <t>月</t>
        </is>
      </c>
      <c r="H21" s="43">
        <f>I21*E21</f>
        <v/>
      </c>
      <c r="I21" s="15">
        <f>IF(G21="月",$R$16,IF(G21="週",$S$16,$T$16))</f>
        <v/>
      </c>
      <c r="R21" s="1" t="n"/>
      <c r="S21" s="1" t="n"/>
      <c r="T21" s="1" t="n"/>
    </row>
    <row r="22">
      <c r="B22" s="53" t="n"/>
      <c r="C22" s="18" t="inlineStr">
        <is>
          <t>主要外業務</t>
        </is>
      </c>
      <c r="D22" s="26" t="inlineStr">
        <is>
          <t>図面差し替え</t>
        </is>
      </c>
      <c r="E22" s="16" t="n">
        <v>0.22</v>
      </c>
      <c r="F22" s="12" t="inlineStr">
        <is>
          <t>/</t>
        </is>
      </c>
      <c r="G22" s="13" t="inlineStr">
        <is>
          <t>月</t>
        </is>
      </c>
      <c r="H22" s="43">
        <f>I22*E22</f>
        <v/>
      </c>
      <c r="I22" s="15">
        <f>IF(G22="月",$R$16,IF(G22="週",$S$16,$T$16))</f>
        <v/>
      </c>
      <c r="R22" s="1" t="n"/>
      <c r="S22" s="1" t="n"/>
      <c r="T22" s="1" t="n"/>
    </row>
    <row r="23">
      <c r="B23" s="53" t="n"/>
      <c r="C23" s="18" t="inlineStr">
        <is>
          <t>主要外業務</t>
        </is>
      </c>
      <c r="D23" s="26" t="inlineStr">
        <is>
          <t>資料まとめ</t>
        </is>
      </c>
      <c r="E23" s="16" t="n">
        <v>0.8</v>
      </c>
      <c r="F23" s="12" t="inlineStr">
        <is>
          <t>/</t>
        </is>
      </c>
      <c r="G23" s="13" t="inlineStr">
        <is>
          <t>月</t>
        </is>
      </c>
      <c r="H23" s="43">
        <f>I23*E23</f>
        <v/>
      </c>
      <c r="I23" s="15">
        <f>IF(G23="月",$R$16,IF(G23="週",$S$16,$T$16))</f>
        <v/>
      </c>
      <c r="R23" s="1" t="n"/>
      <c r="S23" s="1" t="n"/>
      <c r="T23" s="1" t="n"/>
    </row>
    <row r="24">
      <c r="B24" s="53" t="n"/>
      <c r="C24" s="18" t="inlineStr">
        <is>
          <t>主要外業務</t>
        </is>
      </c>
      <c r="D24" s="26" t="inlineStr">
        <is>
          <t>製品打ち合わせ</t>
        </is>
      </c>
      <c r="E24" s="11" t="n">
        <v>0.4</v>
      </c>
      <c r="F24" s="12" t="inlineStr">
        <is>
          <t>/</t>
        </is>
      </c>
      <c r="G24" s="13" t="inlineStr">
        <is>
          <t>月</t>
        </is>
      </c>
      <c r="H24" s="43">
        <f>I24*E24</f>
        <v/>
      </c>
      <c r="I24" s="15">
        <f>IF(G24="月",$R$16,IF(G24="週",$S$16,$T$16))</f>
        <v/>
      </c>
      <c r="R24" s="1" t="n"/>
      <c r="S24" s="1" t="n"/>
      <c r="T24" s="1" t="n"/>
    </row>
    <row r="25">
      <c r="B25" s="53" t="n"/>
      <c r="C25" s="18" t="inlineStr">
        <is>
          <t>主要外業務</t>
        </is>
      </c>
      <c r="D25" s="26" t="inlineStr">
        <is>
          <t>作業準備（高校生）</t>
        </is>
      </c>
      <c r="E25" s="16" t="n">
        <v>0.95</v>
      </c>
      <c r="F25" s="12" t="inlineStr">
        <is>
          <t>/</t>
        </is>
      </c>
      <c r="G25" s="13" t="inlineStr">
        <is>
          <t>月</t>
        </is>
      </c>
      <c r="H25" s="43">
        <f>I25*E25</f>
        <v/>
      </c>
      <c r="I25" s="15">
        <f>IF(G25="月",$R$16,IF(G25="週",$S$16,$T$16))</f>
        <v/>
      </c>
      <c r="R25" s="1" t="n"/>
      <c r="S25" s="1" t="n"/>
      <c r="T25" s="1" t="n"/>
    </row>
    <row r="26">
      <c r="B26" s="53" t="n"/>
      <c r="C26" s="18" t="inlineStr">
        <is>
          <t>主要外業務</t>
        </is>
      </c>
      <c r="D26" s="26" t="inlineStr">
        <is>
          <t>設備説明</t>
        </is>
      </c>
      <c r="E26" s="11" t="n">
        <v>0.03</v>
      </c>
      <c r="F26" s="12" t="inlineStr">
        <is>
          <t>/</t>
        </is>
      </c>
      <c r="G26" s="13" t="inlineStr">
        <is>
          <t>月</t>
        </is>
      </c>
      <c r="H26" s="43">
        <f>I26*E26</f>
        <v/>
      </c>
      <c r="I26" s="15">
        <f>IF(G26="月",$R$16,IF(G26="週",$S$16,$T$16))</f>
        <v/>
      </c>
      <c r="R26" s="1" t="n"/>
      <c r="S26" s="1" t="n"/>
      <c r="T26" s="1" t="n"/>
    </row>
    <row r="27">
      <c r="B27" s="53" t="n"/>
      <c r="C27" s="18" t="inlineStr">
        <is>
          <t>主要外業務</t>
        </is>
      </c>
      <c r="D27" s="26" t="inlineStr">
        <is>
          <t>回覧チェック</t>
        </is>
      </c>
      <c r="E27" s="11" t="n">
        <v>0.08</v>
      </c>
      <c r="F27" s="12" t="inlineStr">
        <is>
          <t>/</t>
        </is>
      </c>
      <c r="G27" s="13" t="inlineStr">
        <is>
          <t>月</t>
        </is>
      </c>
      <c r="H27" s="43">
        <f>I27*E27</f>
        <v/>
      </c>
      <c r="I27" s="15">
        <f>IF(G27="月",$R$16,IF(G27="週",$S$16,$T$16))</f>
        <v/>
      </c>
      <c r="R27" s="1" t="n"/>
      <c r="S27" s="1" t="n"/>
      <c r="T27" s="1" t="n"/>
    </row>
    <row r="28" hidden="1">
      <c r="B28" s="53" t="n"/>
      <c r="C28" s="18" t="inlineStr">
        <is>
          <t>主要外業務</t>
        </is>
      </c>
      <c r="D28" s="27" t="n"/>
      <c r="E28" s="28" t="n"/>
      <c r="F28" s="12" t="inlineStr">
        <is>
          <t>/</t>
        </is>
      </c>
      <c r="G28" s="13" t="inlineStr">
        <is>
          <t>月</t>
        </is>
      </c>
      <c r="H28" s="43">
        <f>I28*E28</f>
        <v/>
      </c>
      <c r="I28" s="15">
        <f>IF(G28="月",$R$16,IF(G28="週",$S$16,$T$16))</f>
        <v/>
      </c>
      <c r="R28" s="1" t="n"/>
      <c r="S28" s="1" t="n"/>
      <c r="T28" s="1" t="n"/>
    </row>
    <row r="29" hidden="1">
      <c r="B29" s="53" t="n"/>
      <c r="C29" s="18" t="inlineStr">
        <is>
          <t>主要外業務</t>
        </is>
      </c>
      <c r="D29" s="26" t="n"/>
      <c r="E29" s="16" t="n"/>
      <c r="F29" s="12" t="inlineStr">
        <is>
          <t>/</t>
        </is>
      </c>
      <c r="G29" s="13" t="inlineStr">
        <is>
          <t>月</t>
        </is>
      </c>
      <c r="H29" s="43">
        <f>I29*E29</f>
        <v/>
      </c>
      <c r="I29" s="15">
        <f>IF(G29="月",$R$16,IF(G29="週",$S$16,$T$16))</f>
        <v/>
      </c>
      <c r="R29" s="1" t="n"/>
      <c r="S29" s="1" t="n"/>
      <c r="T29" s="1" t="n"/>
    </row>
    <row r="30" hidden="1">
      <c r="B30" s="54" t="n"/>
      <c r="C30" s="18" t="n"/>
      <c r="D30" s="26" t="n"/>
      <c r="E30" s="16" t="n"/>
      <c r="F30" s="12" t="inlineStr">
        <is>
          <t>/</t>
        </is>
      </c>
      <c r="G30" s="13" t="inlineStr">
        <is>
          <t>月</t>
        </is>
      </c>
      <c r="H30" s="43">
        <f>I30*E30</f>
        <v/>
      </c>
      <c r="I30" s="15">
        <f>IF(G30="月",$R$16,IF(G30="週",$S$16,$T$16))</f>
        <v/>
      </c>
      <c r="R30" s="1" t="n"/>
      <c r="S30" s="1" t="n"/>
      <c r="T30" s="1" t="n"/>
    </row>
    <row r="31">
      <c r="B31" s="47" t="inlineStr">
        <is>
          <t>主体業務
コア業務</t>
        </is>
      </c>
      <c r="C31" s="29" t="inlineStr">
        <is>
          <t>主体業務</t>
        </is>
      </c>
      <c r="D31" s="10" t="inlineStr">
        <is>
          <t>検査表チェック</t>
        </is>
      </c>
      <c r="E31" s="16" t="n">
        <v>0.79</v>
      </c>
      <c r="F31" s="17" t="inlineStr">
        <is>
          <t>/</t>
        </is>
      </c>
      <c r="G31" s="13" t="inlineStr">
        <is>
          <t>月</t>
        </is>
      </c>
      <c r="H31" s="48">
        <f>I31*E31</f>
        <v/>
      </c>
      <c r="I31" s="15">
        <f>IF(G31="月",$R$16,IF(G31="週",$S$16,$T$16))</f>
        <v/>
      </c>
      <c r="R31" s="1" t="n"/>
      <c r="S31" s="1" t="n"/>
      <c r="T31" s="1" t="n"/>
    </row>
    <row r="32">
      <c r="B32" s="53" t="n"/>
      <c r="C32" s="29" t="inlineStr">
        <is>
          <t>主体業務</t>
        </is>
      </c>
      <c r="D32" s="10" t="inlineStr">
        <is>
          <t>工程確認</t>
        </is>
      </c>
      <c r="E32" s="11" t="n">
        <v>1.83</v>
      </c>
      <c r="F32" s="12" t="inlineStr">
        <is>
          <t>/</t>
        </is>
      </c>
      <c r="G32" s="13" t="inlineStr">
        <is>
          <t>月</t>
        </is>
      </c>
      <c r="H32" s="48">
        <f>I32*E32</f>
        <v/>
      </c>
      <c r="I32" s="15">
        <f>IF(G32="月",$R$16,IF(G32="週",$S$16,$T$16))</f>
        <v/>
      </c>
      <c r="R32" s="1" t="n"/>
      <c r="S32" s="1" t="n"/>
      <c r="T32" s="1" t="n"/>
    </row>
    <row r="33">
      <c r="B33" s="53" t="n"/>
      <c r="C33" s="29" t="inlineStr">
        <is>
          <t>主体業務</t>
        </is>
      </c>
      <c r="D33" s="10" t="inlineStr">
        <is>
          <t>現場（教育）</t>
        </is>
      </c>
      <c r="E33" s="11" t="n">
        <v>3.34</v>
      </c>
      <c r="F33" s="12" t="inlineStr">
        <is>
          <t>/</t>
        </is>
      </c>
      <c r="G33" s="13" t="inlineStr">
        <is>
          <t>月</t>
        </is>
      </c>
      <c r="H33" s="48">
        <f>I33*E33</f>
        <v/>
      </c>
      <c r="I33" s="15">
        <f>IF(G33="月",$R$16,IF(G33="週",$S$16,$T$16))</f>
        <v/>
      </c>
      <c r="R33" s="1" t="n"/>
      <c r="S33" s="1" t="n"/>
      <c r="T33" s="1" t="n"/>
    </row>
    <row r="34">
      <c r="B34" s="53" t="n"/>
      <c r="C34" s="29" t="inlineStr">
        <is>
          <t>主体業務</t>
        </is>
      </c>
      <c r="D34" s="10" t="inlineStr">
        <is>
          <t>標準作業書</t>
        </is>
      </c>
      <c r="E34" s="11" t="n">
        <v>12.3</v>
      </c>
      <c r="F34" s="12" t="inlineStr">
        <is>
          <t>/</t>
        </is>
      </c>
      <c r="G34" s="13" t="inlineStr">
        <is>
          <t>月</t>
        </is>
      </c>
      <c r="H34" s="48">
        <f>I34*E34</f>
        <v/>
      </c>
      <c r="I34" s="15">
        <f>IF(G34="月",$R$16,IF(G34="週",$S$16,$T$16))</f>
        <v/>
      </c>
      <c r="R34" s="1" t="n"/>
      <c r="S34" s="1" t="n"/>
      <c r="T34" s="1" t="n"/>
    </row>
    <row r="35">
      <c r="B35" s="53" t="n"/>
      <c r="C35" s="29" t="inlineStr">
        <is>
          <t>主体業務</t>
        </is>
      </c>
      <c r="D35" s="10" t="inlineStr">
        <is>
          <t>生産確認・フォーマット</t>
        </is>
      </c>
      <c r="E35" s="11" t="n">
        <v>2.32</v>
      </c>
      <c r="F35" s="12" t="inlineStr">
        <is>
          <t>/</t>
        </is>
      </c>
      <c r="G35" s="13" t="inlineStr">
        <is>
          <t>月</t>
        </is>
      </c>
      <c r="H35" s="48">
        <f>I35*E35</f>
        <v/>
      </c>
      <c r="I35" s="15">
        <f>IF(G35="月",$R$16,IF(G35="週",$S$16,$T$16))</f>
        <v/>
      </c>
      <c r="R35" s="1" t="n"/>
      <c r="S35" s="1" t="n"/>
      <c r="T35" s="1" t="n"/>
    </row>
    <row r="36">
      <c r="B36" s="53" t="n"/>
      <c r="C36" s="29" t="inlineStr">
        <is>
          <t>主体業務</t>
        </is>
      </c>
      <c r="D36" s="10" t="inlineStr">
        <is>
          <t>フォーマット打ち合わせ</t>
        </is>
      </c>
      <c r="E36" s="11" t="n">
        <v>1</v>
      </c>
      <c r="F36" s="12" t="inlineStr">
        <is>
          <t>/</t>
        </is>
      </c>
      <c r="G36" s="13" t="inlineStr">
        <is>
          <t>月</t>
        </is>
      </c>
      <c r="H36" s="48">
        <f>I36*E36</f>
        <v/>
      </c>
      <c r="I36" s="15">
        <f>IF(G36="月",$R$16,IF(G36="週",$S$16,$T$16))</f>
        <v/>
      </c>
      <c r="R36" s="1" t="n"/>
      <c r="S36" s="1" t="n"/>
      <c r="T36" s="1" t="n"/>
    </row>
    <row r="37">
      <c r="B37" s="53" t="n"/>
      <c r="C37" s="29" t="inlineStr">
        <is>
          <t>主体業務</t>
        </is>
      </c>
      <c r="D37" s="10" t="inlineStr">
        <is>
          <t>検査表作成</t>
        </is>
      </c>
      <c r="E37" s="11" t="n">
        <v>0.06</v>
      </c>
      <c r="F37" s="12" t="inlineStr">
        <is>
          <t>/</t>
        </is>
      </c>
      <c r="G37" s="13" t="inlineStr">
        <is>
          <t>月</t>
        </is>
      </c>
      <c r="H37" s="48">
        <f>I37*E37</f>
        <v/>
      </c>
      <c r="I37" s="15">
        <f>IF(G37="月",$R$16,IF(G37="週",$S$16,$T$16))</f>
        <v/>
      </c>
      <c r="R37" s="1" t="n"/>
      <c r="S37" s="1" t="n"/>
      <c r="T37" s="1" t="n"/>
    </row>
    <row r="38">
      <c r="B38" s="53" t="n"/>
      <c r="C38" s="29" t="inlineStr">
        <is>
          <t>主体業務</t>
        </is>
      </c>
      <c r="D38" s="10" t="inlineStr">
        <is>
          <t>現場（高校生）</t>
        </is>
      </c>
      <c r="E38" s="16" t="n">
        <v>0.53</v>
      </c>
      <c r="F38" s="12" t="inlineStr">
        <is>
          <t>/</t>
        </is>
      </c>
      <c r="G38" s="13" t="inlineStr">
        <is>
          <t>月</t>
        </is>
      </c>
      <c r="H38" s="48">
        <f>I38*E38</f>
        <v/>
      </c>
      <c r="I38" s="15">
        <f>IF(G38="月",$R$16,IF(G38="週",$S$16,$T$16))</f>
        <v/>
      </c>
      <c r="R38" s="1" t="n"/>
      <c r="S38" s="1" t="n"/>
      <c r="T38" s="1" t="n"/>
    </row>
    <row r="39" ht="19.5" customHeight="1" thickBot="1">
      <c r="B39" s="53" t="n"/>
      <c r="C39" s="29" t="inlineStr">
        <is>
          <t>主体業務</t>
        </is>
      </c>
      <c r="D39" s="10" t="inlineStr">
        <is>
          <t>治具出し</t>
        </is>
      </c>
      <c r="E39" s="11" t="n">
        <v>0.31</v>
      </c>
      <c r="F39" s="12" t="inlineStr">
        <is>
          <t>/</t>
        </is>
      </c>
      <c r="G39" s="13" t="inlineStr">
        <is>
          <t>月</t>
        </is>
      </c>
      <c r="H39" s="48">
        <f>I39*E39</f>
        <v/>
      </c>
      <c r="I39" s="15">
        <f>IF(G39="月",$R$16,IF(G39="週",$S$16,$T$16))</f>
        <v/>
      </c>
      <c r="R39" s="1" t="n"/>
      <c r="S39" s="1" t="n"/>
      <c r="T39" s="1" t="n"/>
    </row>
    <row r="40" hidden="1" ht="19.5" customHeight="1" thickBot="1">
      <c r="B40" s="53" t="n"/>
      <c r="C40" s="29" t="inlineStr">
        <is>
          <t>主体業務</t>
        </is>
      </c>
      <c r="D40" s="27" t="n"/>
      <c r="E40" s="28" t="n"/>
      <c r="F40" s="12" t="inlineStr">
        <is>
          <t>/</t>
        </is>
      </c>
      <c r="G40" s="13" t="inlineStr">
        <is>
          <t>月</t>
        </is>
      </c>
      <c r="H40" s="48">
        <f>I40*E40</f>
        <v/>
      </c>
      <c r="I40" s="15">
        <f>IF(G40="月",$R$16,IF(G40="週",$S$16,$T$16))</f>
        <v/>
      </c>
      <c r="R40" s="1" t="n"/>
      <c r="S40" s="1" t="n"/>
      <c r="T40" s="1" t="n"/>
    </row>
    <row r="41" hidden="1" ht="19.5" customHeight="1" thickBot="1">
      <c r="B41" s="53" t="n"/>
      <c r="C41" s="29" t="inlineStr">
        <is>
          <t>主体業務</t>
        </is>
      </c>
      <c r="D41" s="27" t="n"/>
      <c r="E41" s="28" t="n"/>
      <c r="F41" s="12" t="inlineStr">
        <is>
          <t>/</t>
        </is>
      </c>
      <c r="G41" s="13" t="inlineStr">
        <is>
          <t>月</t>
        </is>
      </c>
      <c r="H41" s="48">
        <f>I41*E41</f>
        <v/>
      </c>
      <c r="I41" s="15">
        <f>IF(G41="月",$R$16,IF(G41="週",$S$16,$T$16))</f>
        <v/>
      </c>
      <c r="R41" s="1" t="n"/>
      <c r="S41" s="1" t="n"/>
      <c r="T41" s="1" t="n"/>
    </row>
    <row r="42" hidden="1" ht="19.5" customHeight="1" thickBot="1">
      <c r="B42" s="53" t="n"/>
      <c r="C42" s="29" t="inlineStr">
        <is>
          <t>主体業務</t>
        </is>
      </c>
      <c r="D42" s="27" t="n"/>
      <c r="E42" s="28" t="n"/>
      <c r="F42" s="12" t="inlineStr">
        <is>
          <t>/</t>
        </is>
      </c>
      <c r="G42" s="13" t="inlineStr">
        <is>
          <t>月</t>
        </is>
      </c>
      <c r="H42" s="48">
        <f>I42*E42</f>
        <v/>
      </c>
      <c r="I42" s="15">
        <f>IF(G42="月",$R$16,IF(G42="週",$S$16,$T$16))</f>
        <v/>
      </c>
      <c r="R42" s="1" t="n"/>
      <c r="S42" s="1" t="n"/>
      <c r="T42" s="1" t="n"/>
    </row>
    <row r="43" hidden="1" ht="19.5" customHeight="1" thickBot="1">
      <c r="B43" s="54" t="n"/>
      <c r="C43" s="31" t="n"/>
      <c r="D43" s="27" t="n"/>
      <c r="E43" s="28" t="n"/>
      <c r="F43" s="12" t="inlineStr">
        <is>
          <t>/</t>
        </is>
      </c>
      <c r="G43" s="13" t="inlineStr">
        <is>
          <t>月</t>
        </is>
      </c>
      <c r="H43" s="48">
        <f>I43*E43</f>
        <v/>
      </c>
      <c r="I43" s="15">
        <f>IF(G43="月",$R$16,IF(G43="週",$S$16,$T$16))</f>
        <v/>
      </c>
      <c r="R43" s="1" t="n"/>
      <c r="S43" s="1" t="n"/>
      <c r="T43" s="1" t="n"/>
    </row>
    <row r="44" ht="24.75" customHeight="1" thickTop="1">
      <c r="A44" s="32" t="n"/>
      <c r="B44" s="32" t="n"/>
      <c r="C44" s="49" t="inlineStr">
        <is>
          <t>合計</t>
        </is>
      </c>
      <c r="D44" s="55" t="n"/>
      <c r="E44" s="55" t="n"/>
      <c r="F44" s="55" t="n"/>
      <c r="G44" s="56" t="n"/>
      <c r="H44" s="33">
        <f>SUM(H3:H43)</f>
        <v/>
      </c>
      <c r="I44" s="34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4" t="n"/>
      <c r="S44" s="34" t="n"/>
      <c r="T44" s="34" t="n"/>
      <c r="U44" s="32" t="n"/>
    </row>
    <row r="45" ht="24" customHeight="1">
      <c r="A45" s="32" t="n"/>
      <c r="B45" s="32" t="n"/>
      <c r="C45" s="50" t="inlineStr">
        <is>
          <t>実際の勤務時間</t>
        </is>
      </c>
      <c r="D45" s="57" t="n"/>
      <c r="E45" s="57" t="n"/>
      <c r="F45" s="57" t="n"/>
      <c r="G45" s="58" t="n"/>
      <c r="H45" s="50" t="n">
        <v>48.556</v>
      </c>
      <c r="I45" s="36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6" t="n"/>
      <c r="S45" s="36" t="n"/>
      <c r="T45" s="36" t="n"/>
      <c r="U45" s="32" t="n"/>
    </row>
    <row r="46" ht="24" customHeight="1">
      <c r="A46" s="32" t="n"/>
      <c r="B46" s="32" t="n"/>
      <c r="C46" s="39" t="inlineStr">
        <is>
          <t>比率</t>
        </is>
      </c>
      <c r="D46" s="57" t="n"/>
      <c r="E46" s="57" t="n"/>
      <c r="F46" s="57" t="n"/>
      <c r="G46" s="58" t="n"/>
      <c r="H46" s="37">
        <f>H44/H45</f>
        <v/>
      </c>
      <c r="I46" s="59" t="n"/>
      <c r="J46" s="32" t="n"/>
      <c r="K46" s="32" t="n"/>
      <c r="L46" s="32" t="n"/>
      <c r="M46" s="32" t="n"/>
      <c r="N46" s="32" t="n"/>
      <c r="O46" s="32" t="n"/>
      <c r="P46" s="32" t="n"/>
      <c r="Q46" s="32" t="n"/>
      <c r="R46" s="59" t="n"/>
      <c r="S46" s="59" t="n"/>
      <c r="T46" s="59" t="n"/>
      <c r="U46" s="32" t="n"/>
    </row>
    <row r="47">
      <c r="E47" s="1" t="n"/>
      <c r="F47" s="1" t="n"/>
      <c r="G47" s="1" t="n"/>
      <c r="R47" s="1" t="n"/>
      <c r="S47" s="1" t="n"/>
      <c r="T47" s="1" t="n"/>
    </row>
  </sheetData>
  <mergeCells count="7">
    <mergeCell ref="B31:B43"/>
    <mergeCell ref="R15:T15"/>
    <mergeCell ref="C46:G46"/>
    <mergeCell ref="C44:G44"/>
    <mergeCell ref="C45:G45"/>
    <mergeCell ref="B3:B14"/>
    <mergeCell ref="B15:B30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24"/>
  <sheetViews>
    <sheetView workbookViewId="0">
      <selection activeCell="A1" sqref="A1"/>
    </sheetView>
  </sheetViews>
  <sheetFormatPr baseColWidth="8" defaultRowHeight="15"/>
  <cols>
    <col width="16" customWidth="1" min="2" max="2"/>
    <col width="14" customWidth="1" min="3" max="3"/>
    <col width="30" customWidth="1" min="4" max="4"/>
    <col width="8" customWidth="1" min="5" max="5"/>
    <col width="8" customWidth="1" min="6" max="6"/>
    <col width="14" customWidth="1" min="7" max="7"/>
  </cols>
  <sheetData>
    <row r="2" ht="24" customHeight="1">
      <c r="B2" s="60" t="inlineStr">
        <is>
          <t>2026年5月12日　業務記録</t>
        </is>
      </c>
    </row>
    <row r="3" ht="30" customHeight="1">
      <c r="B3" s="61" t="inlineStr">
        <is>
          <t>業務分類</t>
        </is>
      </c>
      <c r="C3" s="61" t="inlineStr">
        <is>
          <t>業務種別</t>
        </is>
      </c>
      <c r="D3" s="61" t="inlineStr">
        <is>
          <t>業務内容</t>
        </is>
      </c>
      <c r="E3" s="61" t="inlineStr">
        <is>
          <t>開始</t>
        </is>
      </c>
      <c r="F3" s="61" t="inlineStr">
        <is>
          <t>終了</t>
        </is>
      </c>
      <c r="G3" s="61" t="inlineStr">
        <is>
          <t>所要時間（分）</t>
        </is>
      </c>
    </row>
    <row r="4" ht="18" customHeight="1">
      <c r="B4" s="62" t="inlineStr">
        <is>
          <t>付帯業務
ノンコア業務</t>
        </is>
      </c>
      <c r="C4" s="62" t="inlineStr">
        <is>
          <t>主要外業務</t>
        </is>
      </c>
      <c r="D4" s="62" t="inlineStr">
        <is>
          <t>ラジオ体操・各作業場所朝礼</t>
        </is>
      </c>
      <c r="E4" s="63" t="inlineStr">
        <is>
          <t>8:00</t>
        </is>
      </c>
      <c r="F4" s="63" t="inlineStr">
        <is>
          <t>8:10</t>
        </is>
      </c>
      <c r="G4" s="63" t="n">
        <v>10</v>
      </c>
    </row>
    <row r="5" ht="18" customHeight="1">
      <c r="B5" s="64" t="inlineStr">
        <is>
          <t>削減可能業務</t>
        </is>
      </c>
      <c r="C5" s="64" t="inlineStr">
        <is>
          <t>非定常業務</t>
        </is>
      </c>
      <c r="D5" s="64" t="inlineStr">
        <is>
          <t>金峰・川場薄根 打ち合わせ</t>
        </is>
      </c>
      <c r="E5" s="65" t="inlineStr">
        <is>
          <t>8:10</t>
        </is>
      </c>
      <c r="F5" s="65" t="inlineStr">
        <is>
          <t>8:25</t>
        </is>
      </c>
      <c r="G5" s="65" t="n">
        <v>15</v>
      </c>
    </row>
    <row r="6" ht="18" customHeight="1">
      <c r="B6" s="62" t="inlineStr">
        <is>
          <t>付帯業務
ノンコア業務</t>
        </is>
      </c>
      <c r="C6" s="62" t="inlineStr">
        <is>
          <t>主要外業務</t>
        </is>
      </c>
      <c r="D6" s="62" t="inlineStr">
        <is>
          <t>事務作業</t>
        </is>
      </c>
      <c r="E6" s="63" t="inlineStr">
        <is>
          <t>8:25</t>
        </is>
      </c>
      <c r="F6" s="63" t="inlineStr">
        <is>
          <t>8:46</t>
        </is>
      </c>
      <c r="G6" s="63" t="n">
        <v>21</v>
      </c>
    </row>
    <row r="7" ht="18" customHeight="1">
      <c r="B7" s="62" t="inlineStr">
        <is>
          <t>付帯業務
ノンコア業務</t>
        </is>
      </c>
      <c r="C7" s="62" t="inlineStr">
        <is>
          <t>主要外業務</t>
        </is>
      </c>
      <c r="D7" s="62" t="inlineStr">
        <is>
          <t>笠取工場へ移動</t>
        </is>
      </c>
      <c r="E7" s="63" t="inlineStr">
        <is>
          <t>8:46</t>
        </is>
      </c>
      <c r="F7" s="63" t="inlineStr">
        <is>
          <t>9:03</t>
        </is>
      </c>
      <c r="G7" s="63" t="n">
        <v>17</v>
      </c>
    </row>
    <row r="8" ht="18" customHeight="1">
      <c r="B8" s="64" t="inlineStr">
        <is>
          <t>削減可能業務</t>
        </is>
      </c>
      <c r="C8" s="64" t="inlineStr">
        <is>
          <t>非定常業務</t>
        </is>
      </c>
      <c r="D8" s="64" t="inlineStr">
        <is>
          <t>治具の整理</t>
        </is>
      </c>
      <c r="E8" s="65" t="inlineStr">
        <is>
          <t>9:03</t>
        </is>
      </c>
      <c r="F8" s="65" t="inlineStr">
        <is>
          <t>10:00</t>
        </is>
      </c>
      <c r="G8" s="65" t="n">
        <v>57</v>
      </c>
    </row>
    <row r="9" ht="18" customHeight="1">
      <c r="B9" s="64" t="inlineStr">
        <is>
          <t>削減可能業務</t>
        </is>
      </c>
      <c r="C9" s="64" t="inlineStr">
        <is>
          <t>非定常業務</t>
        </is>
      </c>
      <c r="D9" s="64" t="inlineStr">
        <is>
          <t>ナカモトと打ち合わせ</t>
        </is>
      </c>
      <c r="E9" s="65" t="inlineStr">
        <is>
          <t>10:00</t>
        </is>
      </c>
      <c r="F9" s="65" t="inlineStr">
        <is>
          <t>10:30</t>
        </is>
      </c>
      <c r="G9" s="65" t="n">
        <v>30</v>
      </c>
    </row>
    <row r="10" ht="18" customHeight="1">
      <c r="B10" s="64" t="inlineStr">
        <is>
          <t>削減可能業務</t>
        </is>
      </c>
      <c r="C10" s="64" t="inlineStr">
        <is>
          <t>非定常業務</t>
        </is>
      </c>
      <c r="D10" s="64" t="inlineStr">
        <is>
          <t>治具の整理（再開）</t>
        </is>
      </c>
      <c r="E10" s="65" t="inlineStr">
        <is>
          <t>10:30</t>
        </is>
      </c>
      <c r="F10" s="65" t="inlineStr">
        <is>
          <t>11:50</t>
        </is>
      </c>
      <c r="G10" s="65" t="n">
        <v>80</v>
      </c>
    </row>
    <row r="11" ht="18" customHeight="1">
      <c r="B11" s="62" t="inlineStr">
        <is>
          <t>付帯業務
ノンコア業務</t>
        </is>
      </c>
      <c r="C11" s="62" t="inlineStr">
        <is>
          <t>主要外業務</t>
        </is>
      </c>
      <c r="D11" s="62" t="inlineStr">
        <is>
          <t>本社工場へ移動</t>
        </is>
      </c>
      <c r="E11" s="63" t="inlineStr">
        <is>
          <t>11:50</t>
        </is>
      </c>
      <c r="F11" s="63" t="inlineStr">
        <is>
          <t>12:05</t>
        </is>
      </c>
      <c r="G11" s="63" t="n">
        <v>15</v>
      </c>
    </row>
    <row r="12" ht="18" customHeight="1">
      <c r="B12" s="62" t="inlineStr">
        <is>
          <t>付帯業務
ノンコア業務</t>
        </is>
      </c>
      <c r="C12" s="62" t="inlineStr">
        <is>
          <t>主要外業務</t>
        </is>
      </c>
      <c r="D12" s="62" t="inlineStr">
        <is>
          <t>昼休憩</t>
        </is>
      </c>
      <c r="E12" s="63" t="inlineStr">
        <is>
          <t>12:05</t>
        </is>
      </c>
      <c r="F12" s="63" t="inlineStr">
        <is>
          <t>12:45</t>
        </is>
      </c>
      <c r="G12" s="63" t="n">
        <v>40</v>
      </c>
    </row>
    <row r="13" ht="18" customHeight="1">
      <c r="B13" s="62" t="inlineStr">
        <is>
          <t>付帯業務
ノンコア業務</t>
        </is>
      </c>
      <c r="C13" s="62" t="inlineStr">
        <is>
          <t>主要外業務</t>
        </is>
      </c>
      <c r="D13" s="62" t="inlineStr">
        <is>
          <t>掃除</t>
        </is>
      </c>
      <c r="E13" s="63" t="inlineStr">
        <is>
          <t>12:45</t>
        </is>
      </c>
      <c r="F13" s="63" t="inlineStr">
        <is>
          <t>12:50</t>
        </is>
      </c>
      <c r="G13" s="63" t="n">
        <v>5</v>
      </c>
    </row>
    <row r="14" ht="18" customHeight="1">
      <c r="B14" s="62" t="inlineStr">
        <is>
          <t>付帯業務
ノンコア業務</t>
        </is>
      </c>
      <c r="C14" s="62" t="inlineStr">
        <is>
          <t>主要外業務</t>
        </is>
      </c>
      <c r="D14" s="62" t="inlineStr">
        <is>
          <t>現場周り</t>
        </is>
      </c>
      <c r="E14" s="63" t="inlineStr">
        <is>
          <t>12:50</t>
        </is>
      </c>
      <c r="F14" s="63" t="inlineStr">
        <is>
          <t>12:58</t>
        </is>
      </c>
      <c r="G14" s="63" t="n">
        <v>8</v>
      </c>
    </row>
    <row r="15" ht="18" customHeight="1">
      <c r="B15" s="62" t="inlineStr">
        <is>
          <t>付帯業務
ノンコア業務</t>
        </is>
      </c>
      <c r="C15" s="62" t="inlineStr">
        <is>
          <t>主要外業務</t>
        </is>
      </c>
      <c r="D15" s="62" t="inlineStr">
        <is>
          <t>事務処理（メール・資料）</t>
        </is>
      </c>
      <c r="E15" s="63" t="inlineStr">
        <is>
          <t>12:58</t>
        </is>
      </c>
      <c r="F15" s="63" t="inlineStr">
        <is>
          <t>13:10</t>
        </is>
      </c>
      <c r="G15" s="63" t="n">
        <v>12</v>
      </c>
    </row>
    <row r="16" ht="18" customHeight="1">
      <c r="B16" s="64" t="inlineStr">
        <is>
          <t>削減可能業務</t>
        </is>
      </c>
      <c r="C16" s="64" t="inlineStr">
        <is>
          <t>非定常業務</t>
        </is>
      </c>
      <c r="D16" s="64" t="inlineStr">
        <is>
          <t>京都銀行来社 対応</t>
        </is>
      </c>
      <c r="E16" s="65" t="inlineStr">
        <is>
          <t>13:10</t>
        </is>
      </c>
      <c r="F16" s="65" t="inlineStr">
        <is>
          <t>15:00</t>
        </is>
      </c>
      <c r="G16" s="65" t="n">
        <v>110</v>
      </c>
    </row>
    <row r="17" ht="18" customHeight="1">
      <c r="B17" s="62" t="inlineStr">
        <is>
          <t>付帯業務
ノンコア業務</t>
        </is>
      </c>
      <c r="C17" s="62" t="inlineStr">
        <is>
          <t>主要外業務</t>
        </is>
      </c>
      <c r="D17" s="62" t="inlineStr">
        <is>
          <t>休憩</t>
        </is>
      </c>
      <c r="E17" s="63" t="inlineStr">
        <is>
          <t>15:00</t>
        </is>
      </c>
      <c r="F17" s="63" t="inlineStr">
        <is>
          <t>15:10</t>
        </is>
      </c>
      <c r="G17" s="63" t="n">
        <v>10</v>
      </c>
    </row>
    <row r="18" ht="18" customHeight="1">
      <c r="B18" s="62" t="inlineStr">
        <is>
          <t>付帯業務
ノンコア業務</t>
        </is>
      </c>
      <c r="C18" s="62" t="inlineStr">
        <is>
          <t>主要外業務</t>
        </is>
      </c>
      <c r="D18" s="62" t="inlineStr">
        <is>
          <t>事務作業</t>
        </is>
      </c>
      <c r="E18" s="63" t="inlineStr">
        <is>
          <t>15:10</t>
        </is>
      </c>
      <c r="F18" s="63" t="inlineStr">
        <is>
          <t>15:50</t>
        </is>
      </c>
      <c r="G18" s="63" t="n">
        <v>40</v>
      </c>
    </row>
    <row r="19" ht="18" customHeight="1">
      <c r="B19" s="62" t="inlineStr">
        <is>
          <t>付帯業務
ノンコア業務</t>
        </is>
      </c>
      <c r="C19" s="62" t="inlineStr">
        <is>
          <t>主要外業務</t>
        </is>
      </c>
      <c r="D19" s="62" t="inlineStr">
        <is>
          <t>現場周り</t>
        </is>
      </c>
      <c r="E19" s="63" t="inlineStr">
        <is>
          <t>15:50</t>
        </is>
      </c>
      <c r="F19" s="63" t="inlineStr">
        <is>
          <t>16:19</t>
        </is>
      </c>
      <c r="G19" s="63" t="n">
        <v>29</v>
      </c>
    </row>
    <row r="20" ht="18" customHeight="1">
      <c r="B20" s="62" t="inlineStr">
        <is>
          <t>付帯業務
ノンコア業務</t>
        </is>
      </c>
      <c r="C20" s="62" t="inlineStr">
        <is>
          <t>主要外業務</t>
        </is>
      </c>
      <c r="D20" s="62" t="inlineStr">
        <is>
          <t>事務処理（メール・資料・報告書）</t>
        </is>
      </c>
      <c r="E20" s="63" t="inlineStr">
        <is>
          <t>16:19</t>
        </is>
      </c>
      <c r="F20" s="63" t="inlineStr">
        <is>
          <t>18:08</t>
        </is>
      </c>
      <c r="G20" s="63" t="n">
        <v>109</v>
      </c>
    </row>
    <row r="22" ht="20" customHeight="1">
      <c r="B22" s="66" t="n"/>
      <c r="C22" s="67" t="inlineStr">
        <is>
          <t>削減可能業務　合計</t>
        </is>
      </c>
      <c r="D22" s="66" t="n"/>
      <c r="E22" s="66" t="n"/>
      <c r="F22" s="66" t="n"/>
      <c r="G22" s="67" t="n">
        <v>292</v>
      </c>
    </row>
    <row r="23" ht="20" customHeight="1">
      <c r="B23" s="68" t="n"/>
      <c r="C23" s="69" t="inlineStr">
        <is>
          <t>付帯業務ノンコア業務　合計</t>
        </is>
      </c>
      <c r="D23" s="68" t="n"/>
      <c r="E23" s="68" t="n"/>
      <c r="F23" s="68" t="n"/>
      <c r="G23" s="69" t="n">
        <v>316</v>
      </c>
    </row>
    <row r="24" ht="20" customHeight="1">
      <c r="B24" s="70" t="n"/>
      <c r="C24" s="71" t="inlineStr">
        <is>
          <t>総合計</t>
        </is>
      </c>
      <c r="D24" s="70" t="n"/>
      <c r="E24" s="70" t="n"/>
      <c r="F24" s="70" t="n"/>
      <c r="G24" s="71" t="n">
        <v>608</v>
      </c>
    </row>
  </sheetData>
  <mergeCells count="4">
    <mergeCell ref="C22:F22"/>
    <mergeCell ref="B2:G2"/>
    <mergeCell ref="C24:F24"/>
    <mergeCell ref="C23:F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2026-05-12T09:20:32Z</dcterms:modified>
  <cp:lastModifiedBy>h</cp:lastModifiedBy>
</cp:coreProperties>
</file>