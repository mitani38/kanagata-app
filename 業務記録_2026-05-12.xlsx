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フォーマット" sheetId="1" state="visible" r:id="rId1"/>
    <sheet name="１日（例）" sheetId="2" state="visible" r:id="rId2"/>
    <sheet name="1週間（例）" sheetId="3" state="visible" r:id="rId3"/>
    <sheet name="2026-05-12" sheetId="4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13月">#REF!</definedName>
    <definedName name="_１月">#REF!</definedName>
    <definedName name="_２月">#REF!</definedName>
    <definedName name="_３月">#REF!</definedName>
    <definedName name="_H14">[0]!_H14</definedName>
    <definedName name="_H15">[0]!_H15</definedName>
    <definedName name="_H16">[0]!_H16</definedName>
    <definedName name="_H17">[0]!_H17</definedName>
    <definedName name="_H18">[0]!_H18</definedName>
    <definedName name="_H19">[0]!_H19</definedName>
    <definedName name="_H20">[0]!_H20</definedName>
    <definedName name="_H21">[0]!_H21</definedName>
    <definedName name="_H22">[0]!_H22</definedName>
    <definedName name="_Mid">#REF!</definedName>
    <definedName name="\H">#REF!</definedName>
    <definedName name="\I">#REF!</definedName>
    <definedName name="A">[0]!A</definedName>
    <definedName name="AA">[0]!AA</definedName>
    <definedName name="ＡＡＡ">[0]!ＡＡＡ</definedName>
    <definedName name="AAAA">[0]!AAAA</definedName>
    <definedName name="AAAAA">[0]!AAAAA</definedName>
    <definedName name="AAAAAAAAAA">[0]!AAAAAAAAAA</definedName>
    <definedName name="AAAAAAAAAAAAA">[0]!AAAAAAAAAAAAA</definedName>
    <definedName name="ABC">[0]!ABC</definedName>
    <definedName name="BB">[0]!BB</definedName>
    <definedName name="BBB">#REF!</definedName>
    <definedName name="BBBB">[0]!BBBB</definedName>
    <definedName name="ＢＢＢＢＢ">[0]!ＢＢＢＢＢ</definedName>
    <definedName name="BHYT">[0]!BHYT</definedName>
    <definedName name="CC">[0]!CC</definedName>
    <definedName name="CCCC">[0]!CCCC</definedName>
    <definedName name="CCCCC">[0]!CCCCC</definedName>
    <definedName name="ＤＤ">[0]!ＤＤ</definedName>
    <definedName name="ＤＤＤ">[0]!ＤＤＤ</definedName>
    <definedName name="ＤＤＤＤＤ">[0]!ＤＤＤＤＤ</definedName>
    <definedName name="DDDDDDD">[0]!DDDDDDD</definedName>
    <definedName name="EEEEE">[0]!EEEEE</definedName>
    <definedName name="ＦＤＤ">#REF!</definedName>
    <definedName name="FF">[0]!FF</definedName>
    <definedName name="FFF">[0]!FFF</definedName>
    <definedName name="ＦＦＦＦ">[0]!ＦＦＦＦ</definedName>
    <definedName name="FFFFF">[0]!FFFFF</definedName>
    <definedName name="GEWWE">[0]!GEWWE</definedName>
    <definedName name="GGGG">[0]!GGGG</definedName>
    <definedName name="GGGGG">[0]!GGGGG</definedName>
    <definedName name="GGTY">[0]!GGTY</definedName>
    <definedName name="GGTY2">[0]!GGTY2</definedName>
    <definedName name="GOSAKU">[0]!GOSAKU</definedName>
    <definedName name="GRA">[0]!GRA</definedName>
    <definedName name="GRAPH">#REF!</definedName>
    <definedName name="GRAPH1">[1]月産実績!$I$2:$I$23</definedName>
    <definedName name="Graph本数">#REF!</definedName>
    <definedName name="Gさ">[0]!Gさ</definedName>
    <definedName name="Ｇら">[0]!Ｇら</definedName>
    <definedName name="H17誤作率">[0]!H17誤作率</definedName>
    <definedName name="HH">[0]!HH</definedName>
    <definedName name="HHH">[0]!HHH</definedName>
    <definedName name="HHHHHHH">[0]!HHHHHHH</definedName>
    <definedName name="HHHYU">[0]!HHHYU</definedName>
    <definedName name="HON">[2]月産実績!$L$2:$L$23</definedName>
    <definedName name="III">[0]!III</definedName>
    <definedName name="JISSEKI">#REF!</definedName>
    <definedName name="ｊｊ">[0]!ｊｊ</definedName>
    <definedName name="JJJ">[0]!JJJ</definedName>
    <definedName name="JJJII">[0]!JJJII</definedName>
    <definedName name="JUIO">[0]!JUIO</definedName>
    <definedName name="JUIOI">[0]!JUIOI</definedName>
    <definedName name="KI">[0]!KI</definedName>
    <definedName name="KK">[0]!KK</definedName>
    <definedName name="KKI">[0]!KKI</definedName>
    <definedName name="LLLOIO">[3]月産実績!$I$2:$I$23</definedName>
    <definedName name="Macro1">[0]!Macro1</definedName>
    <definedName name="Macro2">[0]!Macro2</definedName>
    <definedName name="MAM">[0]!MAM</definedName>
    <definedName name="MAMIIN">[0]!MAMIIN</definedName>
    <definedName name="MAMMM">[0]!MAMMM</definedName>
    <definedName name="MATE">[0]!MATE</definedName>
    <definedName name="MATES">[0]!MATES</definedName>
    <definedName name="MATESA">[0]!MATESA</definedName>
    <definedName name="MATES誤作">#REF!</definedName>
    <definedName name="Memorandom">#REF!</definedName>
    <definedName name="MM">[0]!MM</definedName>
    <definedName name="MMIIUUU">[0]!MMIIUUU</definedName>
    <definedName name="MMM">[0]!MMM</definedName>
    <definedName name="MMNNBB">#REF!</definedName>
    <definedName name="MMNNBBV">[0]!MMNNBBV</definedName>
    <definedName name="MNM">#REF!</definedName>
    <definedName name="MUIYT">#REF!</definedName>
    <definedName name="NIK">[0]!NIK</definedName>
    <definedName name="NN">[0]!NN</definedName>
    <definedName name="NNA">[0]!NNA</definedName>
    <definedName name="NNN">[2]月産実績!$I$2:$I$23</definedName>
    <definedName name="NNNIM">[0]!NNNIM</definedName>
    <definedName name="NNUI">[0]!NNUI</definedName>
    <definedName name="OK">[0]!OK</definedName>
    <definedName name="OOOO">[0]!OOOO</definedName>
    <definedName name="Print_Area_MI">#REF!</definedName>
    <definedName name="PRINT_AREA_MI1">#REF!</definedName>
    <definedName name="ＱＱ">[0]!ＱＱ</definedName>
    <definedName name="ＱＱＱ">[0]!ＱＱＱ</definedName>
    <definedName name="RITSU">#REF!</definedName>
    <definedName name="ＳＳＳ">[0]!ＳＳＳ</definedName>
    <definedName name="SSSS">[0]!SSSS</definedName>
    <definedName name="SSSSSS">[0]!SSSSSS</definedName>
    <definedName name="TTTSSS">[0]!TTTSSS</definedName>
    <definedName name="TTTT">[0]!TTTT</definedName>
    <definedName name="VVV">#REF!</definedName>
    <definedName name="wada">[0]!wada</definedName>
    <definedName name="YYY">[4]月産実績!$L$2:$L$23</definedName>
    <definedName name="ああ">[0]!ああ</definedName>
    <definedName name="あああああ">[0]!あああああ</definedName>
    <definedName name="いいい">[0]!いいい</definedName>
    <definedName name="ふＪ">[0]!ふＪ</definedName>
    <definedName name="レベル評価表">[0]!レベル評価表</definedName>
    <definedName name="んあ">#REF!</definedName>
    <definedName name="会費">#REF!</definedName>
    <definedName name="間接">[5]間接!#REF!</definedName>
    <definedName name="教育">[0]!教育</definedName>
    <definedName name="経費">#REF!</definedName>
    <definedName name="現場工数削減">[0]!現場工数削減</definedName>
    <definedName name="甲管１">[0]!甲管１</definedName>
    <definedName name="支出">#REF!</definedName>
    <definedName name="事務用品">#REF!</definedName>
    <definedName name="修繕23">[5]データ!#REF!</definedName>
    <definedName name="重点項目１２月実績">[0]!重点項目１２月実績</definedName>
    <definedName name="賞与別">[6]管理職・専門職群!$A$3:$Q$121</definedName>
    <definedName name="新聞">#REF!</definedName>
    <definedName name="設備2">'[5]００設備'!#REF!</definedName>
    <definedName name="設備3">'[5]００設備'!#REF!</definedName>
    <definedName name="総合">[0]!総合</definedName>
    <definedName name="鉄艤装業務分析スケジュール">[0]!鉄艤装業務分析スケジュール</definedName>
    <definedName name="売上">#REF!</definedName>
    <definedName name="福利">#REF!</definedName>
    <definedName name="予算">[5]間接!#REF!</definedName>
    <definedName name="予定">[0]!予定</definedName>
    <definedName name="利益">#REF!</definedName>
    <definedName name="良い">[0]!良い</definedName>
    <definedName name="_H14" localSheetId="1">'１日（例）'!_H14</definedName>
    <definedName name="_H15" localSheetId="1">'１日（例）'!_H15</definedName>
    <definedName name="_H16" localSheetId="1">'１日（例）'!_H16</definedName>
    <definedName name="_H17" localSheetId="1">'１日（例）'!_H17</definedName>
    <definedName name="_H18" localSheetId="1">'１日（例）'!_H18</definedName>
    <definedName name="_H19" localSheetId="1">'１日（例）'!_H19</definedName>
    <definedName name="_H20" localSheetId="1">'１日（例）'!_H20</definedName>
    <definedName name="_H21" localSheetId="1">'１日（例）'!_H21</definedName>
    <definedName name="_H22" localSheetId="1">'１日（例）'!_H22</definedName>
    <definedName name="A" localSheetId="1">'１日（例）'!A</definedName>
    <definedName name="AA" localSheetId="1">'１日（例）'!AA</definedName>
    <definedName name="ＡＡＡ" localSheetId="1">'１日（例）'!ＡＡＡ</definedName>
    <definedName name="AAAA" localSheetId="1">'１日（例）'!AAAA</definedName>
    <definedName name="AAAAA" localSheetId="1">'１日（例）'!AAAAA</definedName>
    <definedName name="AAAAAAAAAA" localSheetId="1">'１日（例）'!AAAAAAAAAA</definedName>
    <definedName name="AAAAAAAAAAAAA" localSheetId="1">'１日（例）'!AAAAAAAAAAAAA</definedName>
    <definedName name="ABC" localSheetId="1">'１日（例）'!ABC</definedName>
    <definedName name="BB" localSheetId="1">'１日（例）'!BB</definedName>
    <definedName name="BBBB" localSheetId="1">'１日（例）'!BBBB</definedName>
    <definedName name="ＢＢＢＢＢ" localSheetId="1">'１日（例）'!ＢＢＢＢＢ</definedName>
    <definedName name="BHYT" localSheetId="1">'１日（例）'!BHYT</definedName>
    <definedName name="CC" localSheetId="1">'１日（例）'!CC</definedName>
    <definedName name="CCCC" localSheetId="1">'１日（例）'!CCCC</definedName>
    <definedName name="CCCCC" localSheetId="1">'１日（例）'!CCCCC</definedName>
    <definedName name="ＤＤ" localSheetId="1">'１日（例）'!ＤＤ</definedName>
    <definedName name="ＤＤＤ" localSheetId="1">'１日（例）'!ＤＤＤ</definedName>
    <definedName name="ＤＤＤＤＤ" localSheetId="1">'１日（例）'!ＤＤＤＤＤ</definedName>
    <definedName name="DDDDDDD" localSheetId="1">'１日（例）'!DDDDDDD</definedName>
    <definedName name="EEEEE" localSheetId="1">'１日（例）'!EEEEE</definedName>
    <definedName name="FF" localSheetId="1">'１日（例）'!FF</definedName>
    <definedName name="FFF" localSheetId="1">'１日（例）'!FFF</definedName>
    <definedName name="ＦＦＦＦ" localSheetId="1">'１日（例）'!ＦＦＦＦ</definedName>
    <definedName name="FFFFF" localSheetId="1">'１日（例）'!FFFFF</definedName>
    <definedName name="GEWWE" localSheetId="1">'１日（例）'!GEWWE</definedName>
    <definedName name="GGGG" localSheetId="1">'１日（例）'!GGGG</definedName>
    <definedName name="GGGGG" localSheetId="1">'１日（例）'!GGGGG</definedName>
    <definedName name="GGTY" localSheetId="1">'１日（例）'!GGTY</definedName>
    <definedName name="GGTY2" localSheetId="1">'１日（例）'!GGTY2</definedName>
    <definedName name="GOSAKU" localSheetId="1">'１日（例）'!GOSAKU</definedName>
    <definedName name="GRA" localSheetId="1">'１日（例）'!GRA</definedName>
    <definedName name="Gさ" localSheetId="1">'１日（例）'!Gさ</definedName>
    <definedName name="Ｇら" localSheetId="1">'１日（例）'!Ｇら</definedName>
    <definedName name="H17誤作率" localSheetId="1">'１日（例）'!H17誤作率</definedName>
    <definedName name="HH" localSheetId="1">'１日（例）'!HH</definedName>
    <definedName name="HHH" localSheetId="1">'１日（例）'!HHH</definedName>
    <definedName name="HHHHHHH" localSheetId="1">'１日（例）'!HHHHHHH</definedName>
    <definedName name="HHHYU" localSheetId="1">'１日（例）'!HHHYU</definedName>
    <definedName name="III" localSheetId="1">'１日（例）'!III</definedName>
    <definedName name="ｊｊ" localSheetId="1">'１日（例）'!ｊｊ</definedName>
    <definedName name="JJJ" localSheetId="1">'１日（例）'!JJJ</definedName>
    <definedName name="JJJII" localSheetId="1">'１日（例）'!JJJII</definedName>
    <definedName name="JUIO" localSheetId="1">'１日（例）'!JUIO</definedName>
    <definedName name="JUIOI" localSheetId="1">'１日（例）'!JUIOI</definedName>
    <definedName name="KI" localSheetId="1">'１日（例）'!KI</definedName>
    <definedName name="KK" localSheetId="1">'１日（例）'!KK</definedName>
    <definedName name="KKI" localSheetId="1">'１日（例）'!KKI</definedName>
    <definedName name="Macro1" localSheetId="1">'１日（例）'!Macro1</definedName>
    <definedName name="Macro2" localSheetId="1">'１日（例）'!Macro2</definedName>
    <definedName name="MAM" localSheetId="1">'１日（例）'!MAM</definedName>
    <definedName name="MAMIIN" localSheetId="1">'１日（例）'!MAMIIN</definedName>
    <definedName name="MAMMM" localSheetId="1">'１日（例）'!MAMMM</definedName>
    <definedName name="MATE" localSheetId="1">'１日（例）'!MATE</definedName>
    <definedName name="MATES" localSheetId="1">'１日（例）'!MATES</definedName>
    <definedName name="MATESA" localSheetId="1">'１日（例）'!MATESA</definedName>
    <definedName name="MM" localSheetId="1">'１日（例）'!MM</definedName>
    <definedName name="MMIIUUU" localSheetId="1">'１日（例）'!MMIIUUU</definedName>
    <definedName name="MMM" localSheetId="1">'１日（例）'!MMM</definedName>
    <definedName name="MMNNBBV" localSheetId="1">'１日（例）'!MMNNBBV</definedName>
    <definedName name="NIK" localSheetId="1">'１日（例）'!NIK</definedName>
    <definedName name="NN" localSheetId="1">'１日（例）'!NN</definedName>
    <definedName name="NNA" localSheetId="1">'１日（例）'!NNA</definedName>
    <definedName name="NNNIM" localSheetId="1">'１日（例）'!NNNIM</definedName>
    <definedName name="NNUI" localSheetId="1">'１日（例）'!NNUI</definedName>
    <definedName name="OK" localSheetId="1">'１日（例）'!OK</definedName>
    <definedName name="OOOO" localSheetId="1">'１日（例）'!OOOO</definedName>
    <definedName name="ＱＱ" localSheetId="1">'１日（例）'!ＱＱ</definedName>
    <definedName name="ＱＱＱ" localSheetId="1">'１日（例）'!ＱＱＱ</definedName>
    <definedName name="ＳＳＳ" localSheetId="1">'１日（例）'!ＳＳＳ</definedName>
    <definedName name="SSSS" localSheetId="1">'１日（例）'!SSSS</definedName>
    <definedName name="SSSSSS" localSheetId="1">'１日（例）'!SSSSSS</definedName>
    <definedName name="TTTSSS" localSheetId="1">'１日（例）'!TTTSSS</definedName>
    <definedName name="TTTT" localSheetId="1">'１日（例）'!TTTT</definedName>
    <definedName name="wada" localSheetId="1">'１日（例）'!wada</definedName>
    <definedName name="ああ" localSheetId="1">'１日（例）'!ああ</definedName>
    <definedName name="あああああ" localSheetId="1">'１日（例）'!あああああ</definedName>
    <definedName name="いいい" localSheetId="1">'１日（例）'!いいい</definedName>
    <definedName name="ふＪ" localSheetId="1">'１日（例）'!ふＪ</definedName>
    <definedName name="レベル評価表" localSheetId="1">'１日（例）'!レベル評価表</definedName>
    <definedName name="教育" localSheetId="1">'１日（例）'!教育</definedName>
    <definedName name="現場工数削減" localSheetId="1">'１日（例）'!現場工数削減</definedName>
    <definedName name="甲管１" localSheetId="1">'１日（例）'!甲管１</definedName>
    <definedName name="重点項目１２月実績" localSheetId="1">'１日（例）'!重点項目１２月実績</definedName>
    <definedName name="総合" localSheetId="1">'１日（例）'!総合</definedName>
    <definedName name="鉄艤装業務分析スケジュール" localSheetId="1">'１日（例）'!鉄艤装業務分析スケジュール</definedName>
    <definedName name="予定" localSheetId="1">'１日（例）'!予定</definedName>
    <definedName name="良い" localSheetId="1">'１日（例）'!良い</definedName>
    <definedName name="_H14" localSheetId="2">'1週間（例）'!_H14</definedName>
    <definedName name="_H15" localSheetId="2">'1週間（例）'!_H15</definedName>
    <definedName name="_H16" localSheetId="2">'1週間（例）'!_H16</definedName>
    <definedName name="_H17" localSheetId="2">'1週間（例）'!_H17</definedName>
    <definedName name="_H18" localSheetId="2">'1週間（例）'!_H18</definedName>
    <definedName name="_H19" localSheetId="2">'1週間（例）'!_H19</definedName>
    <definedName name="_H20" localSheetId="2">'1週間（例）'!_H20</definedName>
    <definedName name="_H21" localSheetId="2">'1週間（例）'!_H21</definedName>
    <definedName name="_H22" localSheetId="2">'1週間（例）'!_H22</definedName>
    <definedName name="A" localSheetId="2">'1週間（例）'!A</definedName>
    <definedName name="AA" localSheetId="2">'1週間（例）'!AA</definedName>
    <definedName name="ＡＡＡ" localSheetId="2">'1週間（例）'!ＡＡＡ</definedName>
    <definedName name="AAAA" localSheetId="2">'1週間（例）'!AAAA</definedName>
    <definedName name="AAAAA" localSheetId="2">'1週間（例）'!AAAAA</definedName>
    <definedName name="AAAAAAAAAA" localSheetId="2">'1週間（例）'!AAAAAAAAAA</definedName>
    <definedName name="AAAAAAAAAAAAA" localSheetId="2">'1週間（例）'!AAAAAAAAAAAAA</definedName>
    <definedName name="ABC" localSheetId="2">'1週間（例）'!ABC</definedName>
    <definedName name="BB" localSheetId="2">'1週間（例）'!BB</definedName>
    <definedName name="BBBB" localSheetId="2">'1週間（例）'!BBBB</definedName>
    <definedName name="ＢＢＢＢＢ" localSheetId="2">'1週間（例）'!ＢＢＢＢＢ</definedName>
    <definedName name="BHYT" localSheetId="2">'1週間（例）'!BHYT</definedName>
    <definedName name="CC" localSheetId="2">'1週間（例）'!CC</definedName>
    <definedName name="CCCC" localSheetId="2">'1週間（例）'!CCCC</definedName>
    <definedName name="CCCCC" localSheetId="2">'1週間（例）'!CCCCC</definedName>
    <definedName name="ＤＤ" localSheetId="2">'1週間（例）'!ＤＤ</definedName>
    <definedName name="ＤＤＤ" localSheetId="2">'1週間（例）'!ＤＤＤ</definedName>
    <definedName name="ＤＤＤＤＤ" localSheetId="2">'1週間（例）'!ＤＤＤＤＤ</definedName>
    <definedName name="DDDDDDD" localSheetId="2">'1週間（例）'!DDDDDDD</definedName>
    <definedName name="EEEEE" localSheetId="2">'1週間（例）'!EEEEE</definedName>
    <definedName name="FF" localSheetId="2">'1週間（例）'!FF</definedName>
    <definedName name="FFF" localSheetId="2">'1週間（例）'!FFF</definedName>
    <definedName name="ＦＦＦＦ" localSheetId="2">'1週間（例）'!ＦＦＦＦ</definedName>
    <definedName name="FFFFF" localSheetId="2">'1週間（例）'!FFFFF</definedName>
    <definedName name="GEWWE" localSheetId="2">'1週間（例）'!GEWWE</definedName>
    <definedName name="GGGG" localSheetId="2">'1週間（例）'!GGGG</definedName>
    <definedName name="GGGGG" localSheetId="2">'1週間（例）'!GGGGG</definedName>
    <definedName name="GGTY" localSheetId="2">'1週間（例）'!GGTY</definedName>
    <definedName name="GGTY2" localSheetId="2">'1週間（例）'!GGTY2</definedName>
    <definedName name="GOSAKU" localSheetId="2">'1週間（例）'!GOSAKU</definedName>
    <definedName name="GRA" localSheetId="2">'1週間（例）'!GRA</definedName>
    <definedName name="Gさ" localSheetId="2">'1週間（例）'!Gさ</definedName>
    <definedName name="Ｇら" localSheetId="2">'1週間（例）'!Ｇら</definedName>
    <definedName name="H17誤作率" localSheetId="2">'1週間（例）'!H17誤作率</definedName>
    <definedName name="HH" localSheetId="2">'1週間（例）'!HH</definedName>
    <definedName name="HHH" localSheetId="2">'1週間（例）'!HHH</definedName>
    <definedName name="HHHHHHH" localSheetId="2">'1週間（例）'!HHHHHHH</definedName>
    <definedName name="HHHYU" localSheetId="2">'1週間（例）'!HHHYU</definedName>
    <definedName name="III" localSheetId="2">'1週間（例）'!III</definedName>
    <definedName name="ｊｊ" localSheetId="2">'1週間（例）'!ｊｊ</definedName>
    <definedName name="JJJ" localSheetId="2">'1週間（例）'!JJJ</definedName>
    <definedName name="JJJII" localSheetId="2">'1週間（例）'!JJJII</definedName>
    <definedName name="JUIO" localSheetId="2">'1週間（例）'!JUIO</definedName>
    <definedName name="JUIOI" localSheetId="2">'1週間（例）'!JUIOI</definedName>
    <definedName name="KI" localSheetId="2">'1週間（例）'!KI</definedName>
    <definedName name="KK" localSheetId="2">'1週間（例）'!KK</definedName>
    <definedName name="KKI" localSheetId="2">'1週間（例）'!KKI</definedName>
    <definedName name="Macro1" localSheetId="2">'1週間（例）'!Macro1</definedName>
    <definedName name="Macro2" localSheetId="2">'1週間（例）'!Macro2</definedName>
    <definedName name="MAM" localSheetId="2">'1週間（例）'!MAM</definedName>
    <definedName name="MAMIIN" localSheetId="2">'1週間（例）'!MAMIIN</definedName>
    <definedName name="MAMMM" localSheetId="2">'1週間（例）'!MAMMM</definedName>
    <definedName name="MATE" localSheetId="2">'1週間（例）'!MATE</definedName>
    <definedName name="MATES" localSheetId="2">'1週間（例）'!MATES</definedName>
    <definedName name="MATESA" localSheetId="2">'1週間（例）'!MATESA</definedName>
    <definedName name="MM" localSheetId="2">'1週間（例）'!MM</definedName>
    <definedName name="MMIIUUU" localSheetId="2">'1週間（例）'!MMIIUUU</definedName>
    <definedName name="MMM" localSheetId="2">'1週間（例）'!MMM</definedName>
    <definedName name="MMNNBBV" localSheetId="2">'1週間（例）'!MMNNBBV</definedName>
    <definedName name="NIK" localSheetId="2">'1週間（例）'!NIK</definedName>
    <definedName name="NN" localSheetId="2">'1週間（例）'!NN</definedName>
    <definedName name="NNA" localSheetId="2">'1週間（例）'!NNA</definedName>
    <definedName name="NNNIM" localSheetId="2">'1週間（例）'!NNNIM</definedName>
    <definedName name="NNUI" localSheetId="2">'1週間（例）'!NNUI</definedName>
    <definedName name="OK" localSheetId="2">'1週間（例）'!OK</definedName>
    <definedName name="OOOO" localSheetId="2">'1週間（例）'!OOOO</definedName>
    <definedName name="ＱＱ" localSheetId="2">'1週間（例）'!ＱＱ</definedName>
    <definedName name="ＱＱＱ" localSheetId="2">'1週間（例）'!ＱＱＱ</definedName>
    <definedName name="ＳＳＳ" localSheetId="2">'1週間（例）'!ＳＳＳ</definedName>
    <definedName name="SSSS" localSheetId="2">'1週間（例）'!SSSS</definedName>
    <definedName name="SSSSSS" localSheetId="2">'1週間（例）'!SSSSSS</definedName>
    <definedName name="TTTSSS" localSheetId="2">'1週間（例）'!TTTSSS</definedName>
    <definedName name="TTTT" localSheetId="2">'1週間（例）'!TTTT</definedName>
    <definedName name="wada" localSheetId="2">'1週間（例）'!wada</definedName>
    <definedName name="ああ" localSheetId="2">'1週間（例）'!ああ</definedName>
    <definedName name="あああああ" localSheetId="2">'1週間（例）'!あああああ</definedName>
    <definedName name="いいい" localSheetId="2">'1週間（例）'!いいい</definedName>
    <definedName name="ふＪ" localSheetId="2">'1週間（例）'!ふＪ</definedName>
    <definedName name="レベル評価表" localSheetId="2">'1週間（例）'!レベル評価表</definedName>
    <definedName name="教育" localSheetId="2">'1週間（例）'!教育</definedName>
    <definedName name="現場工数削減" localSheetId="2">'1週間（例）'!現場工数削減</definedName>
    <definedName name="甲管１" localSheetId="2">'1週間（例）'!甲管１</definedName>
    <definedName name="重点項目１２月実績" localSheetId="2">'1週間（例）'!重点項目１２月実績</definedName>
    <definedName name="総合" localSheetId="2">'1週間（例）'!総合</definedName>
    <definedName name="鉄艤装業務分析スケジュール" localSheetId="2">'1週間（例）'!鉄艤装業務分析スケジュール</definedName>
    <definedName name="予定" localSheetId="2">'1週間（例）'!予定</definedName>
    <definedName name="良い" localSheetId="2">'1週間（例）'!良い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游ゴシック"/>
      <family val="2"/>
      <color theme="1"/>
      <sz val="11"/>
      <scheme val="minor"/>
    </font>
    <font>
      <name val="游ゴシック"/>
      <charset val="128"/>
      <family val="3"/>
      <sz val="6"/>
      <scheme val="minor"/>
    </font>
    <font>
      <name val="ＭＳ Ｐゴシック"/>
      <charset val="128"/>
      <family val="3"/>
      <sz val="6"/>
    </font>
    <font>
      <name val="游ゴシック"/>
      <charset val="128"/>
      <family val="3"/>
      <color theme="1"/>
      <sz val="14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9900"/>
      <sz val="11"/>
    </font>
    <font>
      <color rgb="00444444"/>
      <sz val="11"/>
    </font>
    <font>
      <b val="1"/>
      <color rgb="00375623"/>
      <sz val="11"/>
    </font>
    <font>
      <b val="1"/>
      <color rgb="001F4E79"/>
      <sz val="11"/>
    </font>
    <font>
      <b val="1"/>
      <color rgb="00C55A11"/>
      <sz val="11"/>
    </font>
    <font>
      <b val="1"/>
      <color rgb="002E4057"/>
      <sz val="11"/>
    </font>
    <font>
      <b val="1"/>
      <color rgb="00595959"/>
      <sz val="11"/>
    </font>
    <font>
      <color rgb="00FF9900"/>
      <sz val="11"/>
    </font>
    <font>
      <color rgb="00375623"/>
      <sz val="11"/>
    </font>
    <font>
      <color rgb="001F4E79"/>
      <sz val="11"/>
    </font>
    <font>
      <color rgb="00C55A11"/>
      <sz val="11"/>
    </font>
    <font>
      <color rgb="002E4057"/>
      <sz val="11"/>
    </font>
    <font>
      <color rgb="00595959"/>
      <sz val="11"/>
    </font>
    <font>
      <b val="1"/>
      <color rgb="00000000"/>
      <sz val="11"/>
    </font>
    <font>
      <b val="1"/>
      <color rgb="00FFFFFF"/>
      <sz val="13"/>
    </font>
    <font>
      <color rgb="00000000"/>
      <sz val="11"/>
    </font>
  </fonts>
  <fills count="2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1AA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F75B6"/>
        <bgColor rgb="002F75B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DF2F9"/>
        <bgColor rgb="00EDF2F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  <fill>
      <patternFill patternType="solid">
        <fgColor rgb="00FFFF99"/>
        <bgColor rgb="00FFFF99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1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2" borderId="1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7" borderId="1" pivotButton="0" quotePrefix="0" xfId="0"/>
    <xf numFmtId="0" fontId="0" fillId="2" borderId="13" pivotButton="0" quotePrefix="0" xfId="0"/>
    <xf numFmtId="0" fontId="0" fillId="2" borderId="14" pivotButton="0" quotePrefix="0" xfId="0"/>
    <xf numFmtId="0" fontId="0" fillId="2" borderId="15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4" pivotButton="0" quotePrefix="0" xfId="0"/>
    <xf numFmtId="0" fontId="3" fillId="0" borderId="0" pivotButton="0" quotePrefix="0" xfId="0"/>
    <xf numFmtId="0" fontId="3" fillId="0" borderId="1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4" fillId="9" borderId="31" applyAlignment="1" pivotButton="0" quotePrefix="0" xfId="0">
      <alignment horizontal="center" vertical="center" wrapText="1"/>
    </xf>
    <xf numFmtId="0" fontId="5" fillId="10" borderId="31" applyAlignment="1" pivotButton="0" quotePrefix="0" xfId="0">
      <alignment horizontal="center" vertical="center" wrapText="1"/>
    </xf>
    <xf numFmtId="0" fontId="0" fillId="10" borderId="31" pivotButton="0" quotePrefix="0" xfId="0"/>
    <xf numFmtId="0" fontId="6" fillId="11" borderId="31" applyAlignment="1" pivotButton="0" quotePrefix="0" xfId="0">
      <alignment horizontal="center" vertical="center" wrapText="1"/>
    </xf>
    <xf numFmtId="0" fontId="6" fillId="11" borderId="31" applyAlignment="1" pivotButton="0" quotePrefix="0" xfId="0">
      <alignment horizontal="left" vertical="center" wrapText="1"/>
    </xf>
    <xf numFmtId="0" fontId="7" fillId="11" borderId="31" applyAlignment="1" pivotButton="0" quotePrefix="0" xfId="0">
      <alignment horizontal="left" vertical="center" wrapText="1"/>
    </xf>
    <xf numFmtId="0" fontId="0" fillId="11" borderId="31" pivotButton="0" quotePrefix="0" xfId="0"/>
    <xf numFmtId="0" fontId="8" fillId="12" borderId="31" applyAlignment="1" pivotButton="0" quotePrefix="0" xfId="0">
      <alignment horizontal="center" vertical="center" wrapText="1"/>
    </xf>
    <xf numFmtId="0" fontId="8" fillId="12" borderId="31" applyAlignment="1" pivotButton="0" quotePrefix="0" xfId="0">
      <alignment horizontal="left" vertical="center" wrapText="1"/>
    </xf>
    <xf numFmtId="0" fontId="7" fillId="12" borderId="31" applyAlignment="1" pivotButton="0" quotePrefix="0" xfId="0">
      <alignment horizontal="left" vertical="center" wrapText="1"/>
    </xf>
    <xf numFmtId="0" fontId="0" fillId="12" borderId="31" pivotButton="0" quotePrefix="0" xfId="0"/>
    <xf numFmtId="0" fontId="9" fillId="13" borderId="31" applyAlignment="1" pivotButton="0" quotePrefix="0" xfId="0">
      <alignment horizontal="center" vertical="center" wrapText="1"/>
    </xf>
    <xf numFmtId="0" fontId="9" fillId="13" borderId="31" applyAlignment="1" pivotButton="0" quotePrefix="0" xfId="0">
      <alignment horizontal="left" vertical="center" wrapText="1"/>
    </xf>
    <xf numFmtId="0" fontId="7" fillId="13" borderId="31" applyAlignment="1" pivotButton="0" quotePrefix="0" xfId="0">
      <alignment horizontal="left" vertical="center" wrapText="1"/>
    </xf>
    <xf numFmtId="0" fontId="0" fillId="13" borderId="31" pivotButton="0" quotePrefix="0" xfId="0"/>
    <xf numFmtId="0" fontId="10" fillId="14" borderId="31" applyAlignment="1" pivotButton="0" quotePrefix="0" xfId="0">
      <alignment horizontal="center" vertical="center" wrapText="1"/>
    </xf>
    <xf numFmtId="0" fontId="10" fillId="14" borderId="31" applyAlignment="1" pivotButton="0" quotePrefix="0" xfId="0">
      <alignment horizontal="left" vertical="center" wrapText="1"/>
    </xf>
    <xf numFmtId="0" fontId="7" fillId="14" borderId="31" applyAlignment="1" pivotButton="0" quotePrefix="0" xfId="0">
      <alignment horizontal="left" vertical="center" wrapText="1"/>
    </xf>
    <xf numFmtId="0" fontId="0" fillId="14" borderId="31" pivotButton="0" quotePrefix="0" xfId="0"/>
    <xf numFmtId="0" fontId="11" fillId="15" borderId="31" applyAlignment="1" pivotButton="0" quotePrefix="0" xfId="0">
      <alignment horizontal="center" vertical="center" wrapText="1"/>
    </xf>
    <xf numFmtId="0" fontId="11" fillId="15" borderId="31" applyAlignment="1" pivotButton="0" quotePrefix="0" xfId="0">
      <alignment horizontal="left" vertical="center" wrapText="1"/>
    </xf>
    <xf numFmtId="0" fontId="7" fillId="15" borderId="31" applyAlignment="1" pivotButton="0" quotePrefix="0" xfId="0">
      <alignment horizontal="left" vertical="center" wrapText="1"/>
    </xf>
    <xf numFmtId="0" fontId="0" fillId="15" borderId="31" pivotButton="0" quotePrefix="0" xfId="0"/>
    <xf numFmtId="0" fontId="12" fillId="16" borderId="31" applyAlignment="1" pivotButton="0" quotePrefix="0" xfId="0">
      <alignment horizontal="center" vertical="center" wrapText="1"/>
    </xf>
    <xf numFmtId="0" fontId="12" fillId="16" borderId="31" applyAlignment="1" pivotButton="0" quotePrefix="0" xfId="0">
      <alignment horizontal="left" vertical="center" wrapText="1"/>
    </xf>
    <xf numFmtId="0" fontId="7" fillId="16" borderId="31" applyAlignment="1" pivotButton="0" quotePrefix="0" xfId="0">
      <alignment horizontal="left" vertical="center" wrapText="1"/>
    </xf>
    <xf numFmtId="0" fontId="0" fillId="16" borderId="31" pivotButton="0" quotePrefix="0" xfId="0"/>
    <xf numFmtId="0" fontId="0" fillId="17" borderId="31" pivotButton="0" quotePrefix="0" xfId="0"/>
    <xf numFmtId="0" fontId="0" fillId="18" borderId="31" pivotButton="0" quotePrefix="0" xfId="0"/>
    <xf numFmtId="0" fontId="13" fillId="11" borderId="31" applyAlignment="1" pivotButton="0" quotePrefix="0" xfId="0">
      <alignment horizontal="left" vertical="center" wrapText="1"/>
    </xf>
    <xf numFmtId="0" fontId="14" fillId="12" borderId="31" applyAlignment="1" pivotButton="0" quotePrefix="0" xfId="0">
      <alignment horizontal="left" vertical="center" wrapText="1"/>
    </xf>
    <xf numFmtId="0" fontId="15" fillId="13" borderId="31" applyAlignment="1" pivotButton="0" quotePrefix="0" xfId="0">
      <alignment horizontal="left" vertical="center" wrapText="1"/>
    </xf>
    <xf numFmtId="0" fontId="16" fillId="14" borderId="31" applyAlignment="1" pivotButton="0" quotePrefix="0" xfId="0">
      <alignment horizontal="left" vertical="center" wrapText="1"/>
    </xf>
    <xf numFmtId="0" fontId="17" fillId="15" borderId="31" applyAlignment="1" pivotButton="0" quotePrefix="0" xfId="0">
      <alignment horizontal="left" vertical="center" wrapText="1"/>
    </xf>
    <xf numFmtId="0" fontId="18" fillId="16" borderId="31" applyAlignment="1" pivotButton="0" quotePrefix="0" xfId="0">
      <alignment horizontal="left" vertical="center" wrapText="1"/>
    </xf>
    <xf numFmtId="0" fontId="19" fillId="19" borderId="3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9" pivotButton="0" quotePrefix="0" xfId="0"/>
    <xf numFmtId="0" fontId="0" fillId="0" borderId="20" pivotButton="0" quotePrefix="0" xfId="0"/>
    <xf numFmtId="164" fontId="3" fillId="0" borderId="0" applyAlignment="1" pivotButton="0" quotePrefix="0" xfId="0">
      <alignment horizontal="center"/>
    </xf>
    <xf numFmtId="0" fontId="20" fillId="9" borderId="31" applyAlignment="1" pivotButton="0" quotePrefix="0" xfId="0">
      <alignment horizontal="center" vertical="center" wrapText="1"/>
    </xf>
    <xf numFmtId="0" fontId="21" fillId="16" borderId="31" applyAlignment="1" pivotButton="0" quotePrefix="0" xfId="0">
      <alignment horizontal="left" vertical="center" wrapText="1"/>
    </xf>
    <xf numFmtId="0" fontId="21" fillId="16" borderId="31" applyAlignment="1" pivotButton="0" quotePrefix="0" xfId="0">
      <alignment horizontal="center" vertical="center" wrapText="1"/>
    </xf>
    <xf numFmtId="0" fontId="21" fillId="12" borderId="31" applyAlignment="1" pivotButton="0" quotePrefix="0" xfId="0">
      <alignment horizontal="left" vertical="center" wrapText="1"/>
    </xf>
    <xf numFmtId="0" fontId="21" fillId="12" borderId="31" applyAlignment="1" pivotButton="0" quotePrefix="0" xfId="0">
      <alignment horizontal="center" vertical="center" wrapText="1"/>
    </xf>
    <xf numFmtId="0" fontId="21" fillId="15" borderId="31" applyAlignment="1" pivotButton="0" quotePrefix="0" xfId="0">
      <alignment horizontal="left" vertical="center" wrapText="1"/>
    </xf>
    <xf numFmtId="0" fontId="21" fillId="15" borderId="31" applyAlignment="1" pivotButton="0" quotePrefix="0" xfId="0">
      <alignment horizontal="center" vertical="center" wrapText="1"/>
    </xf>
    <xf numFmtId="0" fontId="21" fillId="14" borderId="31" applyAlignment="1" pivotButton="0" quotePrefix="0" xfId="0">
      <alignment horizontal="left" vertical="center" wrapText="1"/>
    </xf>
    <xf numFmtId="0" fontId="21" fillId="14" borderId="31" applyAlignment="1" pivotButton="0" quotePrefix="0" xfId="0">
      <alignment horizontal="center" vertical="center" wrapText="1"/>
    </xf>
    <xf numFmtId="0" fontId="21" fillId="13" borderId="31" applyAlignment="1" pivotButton="0" quotePrefix="0" xfId="0">
      <alignment horizontal="left" vertical="center" wrapText="1"/>
    </xf>
    <xf numFmtId="0" fontId="21" fillId="13" borderId="31" applyAlignment="1" pivotButton="0" quotePrefix="0" xfId="0">
      <alignment horizontal="center" vertical="center" wrapText="1"/>
    </xf>
    <xf numFmtId="0" fontId="21" fillId="11" borderId="31" applyAlignment="1" pivotButton="0" quotePrefix="0" xfId="0">
      <alignment horizontal="left" vertical="center" wrapText="1"/>
    </xf>
    <xf numFmtId="0" fontId="21" fillId="11" borderId="31" applyAlignment="1" pivotButton="0" quotePrefix="0" xfId="0">
      <alignment horizontal="center" vertical="center" wrapText="1"/>
    </xf>
    <xf numFmtId="0" fontId="0" fillId="19" borderId="3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externalLink" Target="/xl/externalLinks/externalLink6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75027020967327"/>
          <y val="0.08582443325611998"/>
          <w val="0.8898796301816436"/>
          <h val="0.8538287388163472"/>
        </manualLayout>
      </layout>
      <pieChart>
        <varyColors val="1"/>
        <ser>
          <idx val="0"/>
          <order val="0"/>
          <spPr>
            <a:solidFill>
              <a:schemeClr val="accent2">
                <a:lumMod val="40000"/>
                <a:lumOff val="60000"/>
              </a:schemeClr>
            </a:solidFill>
            <a:ln>
              <a:prstDash val="solid"/>
            </a:ln>
          </spPr>
          <dPt>
            <idx val="0"/>
            <bubble3D val="0"/>
            <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F1AA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2000" b="0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ja-JP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2000" b="0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ja-JP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2000" b="0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ja-JP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ja-JP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フォーマット!$K$3:$K$5</f>
              <strCache>
                <ptCount val="3"/>
                <pt idx="0">
                  <v>削減可能業務</v>
                </pt>
                <pt idx="1">
                  <v xml:space="preserve">付帯業務　</v>
                </pt>
                <pt idx="2">
                  <v>主体業務</v>
                </pt>
              </strCache>
            </strRef>
          </cat>
          <val>
            <numRef>
              <f>フォーマット!$L$3:$L$5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zero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月</v>
                  </pt>
                  <pt idx="1">
                    <v>月</v>
                  </pt>
                  <pt idx="2">
                    <v>月</v>
                  </pt>
                  <pt idx="3">
                    <v>月</v>
                  </pt>
                  <pt idx="4">
                    <v>月</v>
                  </pt>
                  <pt idx="5">
                    <v>月</v>
                  </pt>
                  <pt idx="6">
                    <v>月</v>
                  </pt>
                  <pt idx="7">
                    <v>月</v>
                  </pt>
                  <pt idx="8">
                    <v>月</v>
                  </pt>
                  <pt idx="9">
                    <v>月</v>
                  </pt>
                  <pt idx="10">
                    <v>月</v>
                  </pt>
                  <pt idx="11">
                    <v>月</v>
                  </pt>
                  <pt idx="12">
                    <v>月</v>
                  </pt>
                  <pt idx="13">
                    <v>月</v>
                  </pt>
                  <pt idx="14">
                    <v>月</v>
                  </pt>
                  <pt idx="15">
                    <v>月</v>
                  </pt>
                  <pt idx="16">
                    <v>月</v>
                  </pt>
                  <pt idx="17">
                    <v>月</v>
                  </pt>
                  <pt idx="18">
                    <v>月</v>
                  </pt>
                  <pt idx="19">
                    <v>月</v>
                  </pt>
                  <pt idx="20">
                    <v>月</v>
                  </pt>
                  <pt idx="21">
                    <v>月</v>
                  </pt>
                  <pt idx="22">
                    <v>月</v>
                  </pt>
                  <pt idx="23">
                    <v>月</v>
                  </pt>
                  <pt idx="24">
                    <v>月</v>
                  </pt>
                  <pt idx="25">
                    <v>月</v>
                  </pt>
                  <pt idx="26">
                    <v>月</v>
                  </pt>
                  <pt idx="27">
                    <v>月</v>
                  </pt>
                  <pt idx="28">
                    <v>月</v>
                  </pt>
                  <pt idx="29">
                    <v>月</v>
                  </pt>
                  <pt idx="30">
                    <v>月</v>
                  </pt>
                  <pt idx="31">
                    <v>月</v>
                  </pt>
                  <pt idx="32">
                    <v>月</v>
                  </pt>
                  <pt idx="33">
                    <v>月</v>
                  </pt>
                  <pt idx="34">
                    <v>月</v>
                  </pt>
                  <pt idx="35">
                    <v>月</v>
                  </pt>
                  <pt idx="36">
                    <v>月</v>
                  </pt>
                  <pt idx="37">
                    <v>月</v>
                  </pt>
                  <pt idx="38">
                    <v>月</v>
                  </pt>
                  <pt idx="39">
                    <v>月</v>
                  </pt>
                  <pt idx="40">
                    <v>月</v>
                  </pt>
                </lvl>
                <lvl>
                  <pt idx="0">
                    <v>/</v>
                  </pt>
                  <pt idx="1">
                    <v>/</v>
                  </pt>
                  <pt idx="2">
                    <v>/</v>
                  </pt>
                  <pt idx="3">
                    <v>/</v>
                  </pt>
                  <pt idx="4">
                    <v>/</v>
                  </pt>
                  <pt idx="5">
                    <v>/</v>
                  </pt>
                  <pt idx="6">
                    <v>/</v>
                  </pt>
                  <pt idx="7">
                    <v>/</v>
                  </pt>
                  <pt idx="8">
                    <v>/</v>
                  </pt>
                  <pt idx="9">
                    <v>/</v>
                  </pt>
                  <pt idx="10">
                    <v>/</v>
                  </pt>
                  <pt idx="11">
                    <v>/</v>
                  </pt>
                  <pt idx="12">
                    <v>/</v>
                  </pt>
                  <pt idx="13">
                    <v>/</v>
                  </pt>
                  <pt idx="14">
                    <v>/</v>
                  </pt>
                  <pt idx="15">
                    <v>/</v>
                  </pt>
                  <pt idx="16">
                    <v>/</v>
                  </pt>
                  <pt idx="17">
                    <v>/</v>
                  </pt>
                  <pt idx="18">
                    <v>/</v>
                  </pt>
                  <pt idx="19">
                    <v>/</v>
                  </pt>
                  <pt idx="20">
                    <v>/</v>
                  </pt>
                  <pt idx="21">
                    <v>/</v>
                  </pt>
                  <pt idx="22">
                    <v>/</v>
                  </pt>
                  <pt idx="23">
                    <v>/</v>
                  </pt>
                  <pt idx="24">
                    <v>/</v>
                  </pt>
                  <pt idx="25">
                    <v>/</v>
                  </pt>
                  <pt idx="26">
                    <v>/</v>
                  </pt>
                  <pt idx="27">
                    <v>/</v>
                  </pt>
                  <pt idx="28">
                    <v>/</v>
                  </pt>
                  <pt idx="29">
                    <v>/</v>
                  </pt>
                  <pt idx="30">
                    <v>/</v>
                  </pt>
                  <pt idx="31">
                    <v>/</v>
                  </pt>
                  <pt idx="32">
                    <v>/</v>
                  </pt>
                  <pt idx="33">
                    <v>/</v>
                  </pt>
                  <pt idx="34">
                    <v>/</v>
                  </pt>
                  <pt idx="35">
                    <v>/</v>
                  </pt>
                  <pt idx="36">
                    <v>/</v>
                  </pt>
                  <pt idx="37">
                    <v>/</v>
                  </pt>
                  <pt idx="38">
                    <v>/</v>
                  </pt>
                  <pt idx="39">
                    <v>/</v>
                  </pt>
                  <pt idx="40">
                    <v>/</v>
                  </pt>
                </lvl>
              </multiLvlStrCache>
              <f>フォーマット!$D$3:$G$43</f>
            </multiLvlStrRef>
          </cat>
          <val>
            <numRef>
              <f>フォーマット!$H$3:$H$43</f>
              <numCache>
                <formatCode>General</formatCode>
                <ptCount val="4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/>
        <a:lstStyle/>
        <a:p>
          <a:pPr rtl="0">
            <a:defRPr/>
          </a:pPr>
          <a:r>
            <a:t/>
          </a:r>
          <a:endParaRPr lang="ja-JP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75027020967327"/>
          <y val="0.08582443325611998"/>
          <w val="0.8898796301816436"/>
          <h val="0.8538287388163472"/>
        </manualLayout>
      </layout>
      <pieChart>
        <varyColors val="1"/>
        <ser>
          <idx val="0"/>
          <order val="0"/>
          <spPr>
            <a:solidFill>
              <a:schemeClr val="accent2">
                <a:lumMod val="40000"/>
                <a:lumOff val="60000"/>
              </a:schemeClr>
            </a:solidFill>
            <a:ln>
              <a:prstDash val="solid"/>
            </a:ln>
          </spPr>
          <dPt>
            <idx val="0"/>
            <bubble3D val="0"/>
            <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F1AA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2000" b="0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ja-JP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2000" b="0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ja-JP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2000" b="0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ja-JP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ja-JP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'１日（例）'!$K$15:$K$17</f>
              <strCache>
                <ptCount val="3"/>
                <pt idx="0">
                  <v>削減可能業務</v>
                </pt>
                <pt idx="1">
                  <v xml:space="preserve">付帯業務　</v>
                </pt>
                <pt idx="2">
                  <v>主体業務</v>
                </pt>
              </strCache>
            </strRef>
          </cat>
          <val>
            <numRef>
              <f>'１日（例）'!$L$15:$L$17</f>
              <numCache>
                <formatCode>General</formatCode>
                <ptCount val="3"/>
                <pt idx="0">
                  <v>1.61</v>
                </pt>
                <pt idx="1">
                  <v>5.48</v>
                </pt>
                <pt idx="2">
                  <v>2.52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zero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月</v>
                  </pt>
                  <pt idx="1">
                    <v>月</v>
                  </pt>
                  <pt idx="2">
                    <v>月</v>
                  </pt>
                  <pt idx="3">
                    <v>月</v>
                  </pt>
                  <pt idx="4">
                    <v>月</v>
                  </pt>
                  <pt idx="5">
                    <v>月</v>
                  </pt>
                  <pt idx="6">
                    <v>月</v>
                  </pt>
                  <pt idx="7">
                    <v>月</v>
                  </pt>
                  <pt idx="8">
                    <v>月</v>
                  </pt>
                  <pt idx="9">
                    <v>月</v>
                  </pt>
                  <pt idx="10">
                    <v>月</v>
                  </pt>
                  <pt idx="11">
                    <v>月</v>
                  </pt>
                </lvl>
                <lvl>
                  <pt idx="0">
                    <v>/</v>
                  </pt>
                  <pt idx="1">
                    <v>/</v>
                  </pt>
                  <pt idx="2">
                    <v>/</v>
                  </pt>
                  <pt idx="3">
                    <v>/</v>
                  </pt>
                  <pt idx="4">
                    <v>/</v>
                  </pt>
                  <pt idx="5">
                    <v>/</v>
                  </pt>
                  <pt idx="6">
                    <v>/</v>
                  </pt>
                  <pt idx="7">
                    <v>/</v>
                  </pt>
                  <pt idx="8">
                    <v>/</v>
                  </pt>
                  <pt idx="9">
                    <v>/</v>
                  </pt>
                  <pt idx="10">
                    <v>/</v>
                  </pt>
                  <pt idx="11">
                    <v>/</v>
                  </pt>
                </lvl>
                <lvl>
                  <pt idx="0">
                    <v>0.75</v>
                  </pt>
                  <pt idx="1">
                    <v>0.86</v>
                  </pt>
                  <pt idx="2">
                    <v>0.16</v>
                  </pt>
                  <pt idx="3">
                    <v>4.76</v>
                  </pt>
                  <pt idx="4">
                    <v>0.08</v>
                  </pt>
                  <pt idx="5">
                    <v>0.16</v>
                  </pt>
                  <pt idx="6">
                    <v>0.16</v>
                  </pt>
                  <pt idx="7">
                    <v>0.08</v>
                  </pt>
                  <pt idx="8">
                    <v>0.08</v>
                  </pt>
                  <pt idx="9">
                    <v>0.26</v>
                  </pt>
                  <pt idx="10">
                    <v>1.95</v>
                  </pt>
                  <pt idx="11">
                    <v>0.31</v>
                  </pt>
                </lvl>
                <lvl>
                  <pt idx="0">
                    <v>品質確認</v>
                  </pt>
                  <pt idx="1">
                    <v>手直し</v>
                  </pt>
                  <pt idx="2">
                    <v>朝礼ラジオ体操挨拶</v>
                  </pt>
                  <pt idx="3">
                    <v>現場（作業）</v>
                  </pt>
                  <pt idx="4">
                    <v>トイレ掃除</v>
                  </pt>
                  <pt idx="5">
                    <v>残業確認</v>
                  </pt>
                  <pt idx="6">
                    <v>資料まとめ</v>
                  </pt>
                  <pt idx="7">
                    <v>回覧チェック</v>
                  </pt>
                  <pt idx="8">
                    <v>メールチェック</v>
                  </pt>
                  <pt idx="9">
                    <v>生産表</v>
                  </pt>
                  <pt idx="10">
                    <v>標準作業書</v>
                  </pt>
                  <pt idx="11">
                    <v>治具出し</v>
                  </pt>
                </lvl>
              </multiLvlStrCache>
              <f>'１日（例）'!$D$3:$G$43</f>
            </multiLvlStrRef>
          </cat>
          <val>
            <numRef>
              <f>'１日（例）'!$H$3:$H$43</f>
              <numCache>
                <formatCode>General</formatCode>
                <ptCount val="12"/>
                <pt idx="0">
                  <v>0.75</v>
                </pt>
                <pt idx="1">
                  <v>0.86</v>
                </pt>
                <pt idx="2">
                  <v>0.16</v>
                </pt>
                <pt idx="3">
                  <v>4.76</v>
                </pt>
                <pt idx="4">
                  <v>0.08</v>
                </pt>
                <pt idx="5">
                  <v>0.16</v>
                </pt>
                <pt idx="6">
                  <v>0.16</v>
                </pt>
                <pt idx="7">
                  <v>0.08</v>
                </pt>
                <pt idx="8">
                  <v>0.08</v>
                </pt>
                <pt idx="9">
                  <v>0.26</v>
                </pt>
                <pt idx="10">
                  <v>1.95</v>
                </pt>
                <pt idx="11">
                  <v>0.31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/>
        <a:lstStyle/>
        <a:p>
          <a:pPr rtl="0">
            <a:defRPr/>
          </a:pPr>
          <a:r>
            <a:t/>
          </a:r>
          <a:endParaRPr lang="ja-JP"/>
        </a:p>
      </txPr>
    </legend>
    <plotVisOnly val="1"/>
    <dispBlanksAs val="zero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75027020967327"/>
          <y val="0.08582443325611998"/>
          <w val="0.8898796301816436"/>
          <h val="0.8538287388163472"/>
        </manualLayout>
      </layout>
      <pieChart>
        <varyColors val="1"/>
        <ser>
          <idx val="0"/>
          <order val="0"/>
          <spPr>
            <a:solidFill>
              <a:schemeClr val="accent2">
                <a:lumMod val="40000"/>
                <a:lumOff val="60000"/>
              </a:schemeClr>
            </a:solidFill>
            <a:ln>
              <a:prstDash val="solid"/>
            </a:ln>
          </spPr>
          <dPt>
            <idx val="0"/>
            <bubble3D val="0"/>
            <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F1AA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2000" b="0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ja-JP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2000" b="0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ja-JP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2000" b="0" i="0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ja-JP"/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ja-JP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'1週間（例）'!$K$15:$K$17</f>
              <strCache>
                <ptCount val="3"/>
                <pt idx="0">
                  <v>削減可能業務</v>
                </pt>
                <pt idx="1">
                  <v xml:space="preserve">付帯業務　</v>
                </pt>
                <pt idx="2">
                  <v>主体業務</v>
                </pt>
              </strCache>
            </strRef>
          </cat>
          <val>
            <numRef>
              <f>'1週間（例）'!$L$15:$L$17</f>
              <numCache>
                <formatCode>General</formatCode>
                <ptCount val="3"/>
                <pt idx="0">
                  <v>5.96</v>
                </pt>
                <pt idx="1">
                  <v>21.38</v>
                </pt>
                <pt idx="2">
                  <v>22.48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zero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月</v>
                  </pt>
                  <pt idx="1">
                    <v>月</v>
                  </pt>
                  <pt idx="2">
                    <v>月</v>
                  </pt>
                  <pt idx="3">
                    <v>月</v>
                  </pt>
                  <pt idx="4">
                    <v>月</v>
                  </pt>
                  <pt idx="5">
                    <v>月</v>
                  </pt>
                  <pt idx="6">
                    <v>月</v>
                  </pt>
                  <pt idx="7">
                    <v>月</v>
                  </pt>
                  <pt idx="8">
                    <v>月</v>
                  </pt>
                  <pt idx="9">
                    <v>月</v>
                  </pt>
                  <pt idx="10">
                    <v>月</v>
                  </pt>
                  <pt idx="11">
                    <v>月</v>
                  </pt>
                  <pt idx="12">
                    <v>月</v>
                  </pt>
                  <pt idx="13">
                    <v>月</v>
                  </pt>
                  <pt idx="14">
                    <v>月</v>
                  </pt>
                  <pt idx="15">
                    <v>月</v>
                  </pt>
                  <pt idx="16">
                    <v>月</v>
                  </pt>
                  <pt idx="17">
                    <v>月</v>
                  </pt>
                  <pt idx="18">
                    <v>月</v>
                  </pt>
                  <pt idx="19">
                    <v>月</v>
                  </pt>
                  <pt idx="20">
                    <v>月</v>
                  </pt>
                  <pt idx="21">
                    <v>月</v>
                  </pt>
                  <pt idx="22">
                    <v>月</v>
                  </pt>
                  <pt idx="23">
                    <v>月</v>
                  </pt>
                </lvl>
                <lvl>
                  <pt idx="0">
                    <v>/</v>
                  </pt>
                  <pt idx="1">
                    <v>/</v>
                  </pt>
                  <pt idx="2">
                    <v>/</v>
                  </pt>
                  <pt idx="3">
                    <v>/</v>
                  </pt>
                  <pt idx="4">
                    <v>/</v>
                  </pt>
                  <pt idx="5">
                    <v>/</v>
                  </pt>
                  <pt idx="6">
                    <v>/</v>
                  </pt>
                  <pt idx="7">
                    <v>/</v>
                  </pt>
                  <pt idx="8">
                    <v>/</v>
                  </pt>
                  <pt idx="9">
                    <v>/</v>
                  </pt>
                  <pt idx="10">
                    <v>/</v>
                  </pt>
                  <pt idx="11">
                    <v>/</v>
                  </pt>
                  <pt idx="12">
                    <v>/</v>
                  </pt>
                  <pt idx="13">
                    <v>/</v>
                  </pt>
                  <pt idx="14">
                    <v>/</v>
                  </pt>
                  <pt idx="15">
                    <v>/</v>
                  </pt>
                  <pt idx="16">
                    <v>/</v>
                  </pt>
                  <pt idx="17">
                    <v>/</v>
                  </pt>
                  <pt idx="18">
                    <v>/</v>
                  </pt>
                  <pt idx="19">
                    <v>/</v>
                  </pt>
                  <pt idx="20">
                    <v>/</v>
                  </pt>
                  <pt idx="21">
                    <v>/</v>
                  </pt>
                  <pt idx="22">
                    <v>/</v>
                  </pt>
                  <pt idx="23">
                    <v>/</v>
                  </pt>
                </lvl>
                <lvl>
                  <pt idx="0">
                    <v>4.25</v>
                  </pt>
                  <pt idx="1">
                    <v>1.71</v>
                  </pt>
                  <pt idx="2">
                    <v>0.59</v>
                  </pt>
                  <pt idx="3">
                    <v>1</v>
                  </pt>
                  <pt idx="4">
                    <v>0.12</v>
                  </pt>
                  <pt idx="5">
                    <v>0.45</v>
                  </pt>
                  <pt idx="6">
                    <v>1.55</v>
                  </pt>
                  <pt idx="7">
                    <v>14.9</v>
                  </pt>
                  <pt idx="8">
                    <v>0.29</v>
                  </pt>
                  <pt idx="9">
                    <v>0.22</v>
                  </pt>
                  <pt idx="10">
                    <v>0.8</v>
                  </pt>
                  <pt idx="11">
                    <v>0.4</v>
                  </pt>
                  <pt idx="12">
                    <v>0.95</v>
                  </pt>
                  <pt idx="13">
                    <v>0.03</v>
                  </pt>
                  <pt idx="14">
                    <v>0.08</v>
                  </pt>
                  <pt idx="15">
                    <v>0.79</v>
                  </pt>
                  <pt idx="16">
                    <v>1.83</v>
                  </pt>
                  <pt idx="17">
                    <v>3.34</v>
                  </pt>
                  <pt idx="18">
                    <v>12.3</v>
                  </pt>
                  <pt idx="19">
                    <v>2.32</v>
                  </pt>
                  <pt idx="20">
                    <v>1</v>
                  </pt>
                  <pt idx="21">
                    <v>0.06</v>
                  </pt>
                  <pt idx="22">
                    <v>0.53</v>
                  </pt>
                  <pt idx="23">
                    <v>0.31</v>
                  </pt>
                </lvl>
                <lvl>
                  <pt idx="0">
                    <v>品質確認</v>
                  </pt>
                  <pt idx="1">
                    <v>手直し</v>
                  </pt>
                  <pt idx="2">
                    <v>ラジオ体操挨拶</v>
                  </pt>
                  <pt idx="3">
                    <v>研修報告書</v>
                  </pt>
                  <pt idx="4">
                    <v>昼礼</v>
                  </pt>
                  <pt idx="5">
                    <v>5分掃除　トイレ掃除</v>
                  </pt>
                  <pt idx="6">
                    <v>残業確認</v>
                  </pt>
                  <pt idx="7">
                    <v>現場（作業）</v>
                  </pt>
                  <pt idx="8">
                    <v>メール確認</v>
                  </pt>
                  <pt idx="9">
                    <v>図面差し替え</v>
                  </pt>
                  <pt idx="10">
                    <v>資料まとめ</v>
                  </pt>
                  <pt idx="11">
                    <v>製品打ち合わせ</v>
                  </pt>
                  <pt idx="12">
                    <v>作業準備（高校生）</v>
                  </pt>
                  <pt idx="13">
                    <v>設備説明</v>
                  </pt>
                  <pt idx="14">
                    <v>回覧チェック</v>
                  </pt>
                  <pt idx="15">
                    <v>検査表チェック</v>
                  </pt>
                  <pt idx="16">
                    <v>工程確認</v>
                  </pt>
                  <pt idx="17">
                    <v>現場（教育）</v>
                  </pt>
                  <pt idx="18">
                    <v>標準作業書</v>
                  </pt>
                  <pt idx="19">
                    <v>生産確認・フォーマット</v>
                  </pt>
                  <pt idx="20">
                    <v>フォーマット打ち合わせ</v>
                  </pt>
                  <pt idx="21">
                    <v>検査表作成</v>
                  </pt>
                  <pt idx="22">
                    <v>現場（高校生）</v>
                  </pt>
                  <pt idx="23">
                    <v>治具出し</v>
                  </pt>
                </lvl>
              </multiLvlStrCache>
              <f>'1週間（例）'!$D$3:$G$43</f>
            </multiLvlStrRef>
          </cat>
          <val>
            <numRef>
              <f>'1週間（例）'!$H$3:$H$43</f>
              <numCache>
                <formatCode>General</formatCode>
                <ptCount val="24"/>
                <pt idx="0">
                  <v>4.25</v>
                </pt>
                <pt idx="1">
                  <v>1.71</v>
                </pt>
                <pt idx="2">
                  <v>0.59</v>
                </pt>
                <pt idx="3">
                  <v>1</v>
                </pt>
                <pt idx="4">
                  <v>0.12</v>
                </pt>
                <pt idx="5">
                  <v>0.45</v>
                </pt>
                <pt idx="6">
                  <v>1.55</v>
                </pt>
                <pt idx="7">
                  <v>14.9</v>
                </pt>
                <pt idx="8">
                  <v>0.29</v>
                </pt>
                <pt idx="9">
                  <v>0.22</v>
                </pt>
                <pt idx="10">
                  <v>0.8</v>
                </pt>
                <pt idx="11">
                  <v>0.4</v>
                </pt>
                <pt idx="12">
                  <v>0.95</v>
                </pt>
                <pt idx="13">
                  <v>0.03</v>
                </pt>
                <pt idx="14">
                  <v>0.08</v>
                </pt>
                <pt idx="15">
                  <v>0.79</v>
                </pt>
                <pt idx="16">
                  <v>1.83</v>
                </pt>
                <pt idx="17">
                  <v>3.34</v>
                </pt>
                <pt idx="18">
                  <v>12.3</v>
                </pt>
                <pt idx="19">
                  <v>2.32</v>
                </pt>
                <pt idx="20">
                  <v>1</v>
                </pt>
                <pt idx="21">
                  <v>0.06</v>
                </pt>
                <pt idx="22">
                  <v>0.53</v>
                </pt>
                <pt idx="23">
                  <v>0.31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/>
        <a:lstStyle/>
        <a:p>
          <a:pPr rtl="0">
            <a:defRPr/>
          </a:pPr>
          <a:r>
            <a:t/>
          </a:r>
          <a:endParaRPr lang="ja-JP"/>
        </a:p>
      </txPr>
    </legend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488950</colOff>
      <row>7</row>
      <rowOff>168564</rowOff>
    </from>
    <to>
      <col>16</col>
      <colOff>443346</colOff>
      <row>42</row>
      <rowOff>158461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16</col>
      <colOff>555830</colOff>
      <row>7</row>
      <rowOff>181262</rowOff>
    </from>
    <to>
      <col>30</col>
      <colOff>583046</colOff>
      <row>55</row>
      <rowOff>211282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85436</colOff>
      <row>19</row>
      <rowOff>132196</rowOff>
    </from>
    <to>
      <col>16</col>
      <colOff>39832</colOff>
      <row>72</row>
      <rowOff>131618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16</col>
      <colOff>152316</colOff>
      <row>19</row>
      <rowOff>144894</rowOff>
    </from>
    <to>
      <col>30</col>
      <colOff>179532</colOff>
      <row>86</row>
      <rowOff>149802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128979</colOff>
      <row>19</row>
      <rowOff>96817</rowOff>
    </from>
    <to>
      <col>16</col>
      <colOff>83375</colOff>
      <row>60</row>
      <rowOff>127535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16</col>
      <colOff>195859</colOff>
      <row>19</row>
      <rowOff>109515</rowOff>
    </from>
    <to>
      <col>30</col>
      <colOff>223075</colOff>
      <row>74</row>
      <rowOff>145719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Startup" Target="Srv058/etc/&#35373;&#27231;&#20849;&#36890;/094.&#35373;&#27231;&#32076;&#21942;&#20250;&#35696;/H13%20&#32076;&#21942;&#20250;&#35696;/12&#26376;&#32076;&#21942;&#20250;&#35696;/MATES12&#26376;&#20104;&#23450;.xls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Startup" Target="Srv058/etc/&#35373;&#27231;&#20849;&#36890;/094.&#35373;&#27231;&#32076;&#21942;&#20250;&#35696;/H14%20&#32076;&#21942;&#20250;&#35696;/6&#26376;&#32076;&#21942;&#20250;&#35696;/MATES03&#26376;&#20104;&#23450;.xls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Startup" Target="Srv058/etc/&#35373;&#27231;&#20849;&#36890;/094.&#35373;&#27231;&#32076;&#21942;&#20250;&#35696;/H15%20&#32076;&#21942;&#20250;&#35696;/08&#26376;&#32076;&#21942;&#20250;&#35696;/MATES5&#26376;&#20104;&#23450;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Startup" Target="Srv058/etc/TEMP/MATES1&#26376;&#20104;&#23450;.xls" TargetMode="External" Id="rId1" /></Relationships>
</file>

<file path=xl/externalLinks/_rels/externalLink5.xml.rels><Relationships xmlns="http://schemas.openxmlformats.org/package/2006/relationships"><Relationship Type="http://schemas.microsoft.com/office/2006/relationships/xlExternalLinkPath/xlStartup" Target="Srv058/ETC/windows/TEMP/&#24179;&#25104;&#65297;4&#24180;&#24230;&#20104;&#31639;&#65288;&#26696;&#65289;.xls" TargetMode="External" Id="rId1" /></Relationships>
</file>

<file path=xl/externalLinks/_rels/externalLink6.xml.rels><Relationships xmlns="http://schemas.openxmlformats.org/package/2006/relationships"><Relationship Type="http://schemas.microsoft.com/office/2006/relationships/xlExternalLinkPath/xlStartup" Target="Srv075/&#35373;&#35336;dir/WINDOWS/TEMP/2001&#24180;&#24460;&#26399;&#20154;&#20107;&#32771;&#35506;&#65288;&#31649;&#29702;&#32887;&#32676;&#35519;&#25972;&#36039;&#26009;&#65289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２０００ １１月"/>
      <sheetName val="２０００ １２月"/>
      <sheetName val="１月"/>
      <sheetName val="２月 "/>
      <sheetName val="３月"/>
      <sheetName val="４月"/>
      <sheetName val="５月"/>
      <sheetName val="６月"/>
      <sheetName val="７月"/>
      <sheetName val="８月"/>
      <sheetName val="９月"/>
      <sheetName val="１０月"/>
      <sheetName val="１１月"/>
      <sheetName val="Graph1"/>
      <sheetName val="Graph2"/>
      <sheetName val="Graph3"/>
      <sheetName val="Graph4"/>
      <sheetName val="Graph5"/>
      <sheetName val="Graph7"/>
      <sheetName val="月産予定"/>
      <sheetName val="月産実績"/>
      <sheetName val="誤作策減額"/>
      <sheetName val="能力係数"/>
      <sheetName val="時数山積"/>
      <sheetName val="時数比率"/>
      <sheetName val="時数グラフ"/>
      <sheetName val="能力"/>
      <sheetName val="工数集計"/>
      <sheetName val="経費グラフ"/>
      <sheetName val="経費内訳"/>
      <sheetName val="単価"/>
      <sheetName val="工数集計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>
        <row r="2">
          <cell r="I2" t="str"/>
        </row>
        <row r="3">
          <cell r="I3">
            <v>2134</v>
          </cell>
        </row>
        <row r="4">
          <cell r="I4">
            <v>5807</v>
          </cell>
        </row>
        <row r="5">
          <cell r="I5">
            <v>3385</v>
          </cell>
        </row>
        <row r="6">
          <cell r="I6">
            <v>4661</v>
          </cell>
        </row>
        <row r="7">
          <cell r="I7">
            <v>8687</v>
          </cell>
        </row>
        <row r="8">
          <cell r="I8">
            <v>7054</v>
          </cell>
        </row>
        <row r="9">
          <cell r="I9">
            <v>8632</v>
          </cell>
        </row>
        <row r="10">
          <cell r="I10">
            <v>8048</v>
          </cell>
        </row>
        <row r="11">
          <cell r="I11">
            <v>7950</v>
          </cell>
        </row>
        <row r="12">
          <cell r="I12">
            <v>11245</v>
          </cell>
        </row>
        <row r="13">
          <cell r="I13">
            <v>6915</v>
          </cell>
        </row>
        <row r="14">
          <cell r="I14">
            <v>7975</v>
          </cell>
        </row>
        <row r="15">
          <cell r="I15">
            <v>7774</v>
          </cell>
        </row>
        <row r="16">
          <cell r="I16">
            <v>8517</v>
          </cell>
        </row>
        <row r="17">
          <cell r="I17">
            <v>7822</v>
          </cell>
        </row>
        <row r="18">
          <cell r="I18">
            <v>5573</v>
          </cell>
        </row>
        <row r="19">
          <cell r="I19">
            <v>6829</v>
          </cell>
        </row>
        <row r="20">
          <cell r="I20">
            <v>7635</v>
          </cell>
        </row>
        <row r="21">
          <cell r="I21">
            <v>10984</v>
          </cell>
        </row>
        <row r="22">
          <cell r="I22" t="str"/>
        </row>
        <row r="23">
          <cell r="I23" t="str"/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２月"/>
      <sheetName val="3D HULL"/>
      <sheetName val="Graph誤作"/>
      <sheetName val="2002.2月改正一品   "/>
      <sheetName val="Graph本数"/>
      <sheetName val="月産予定"/>
      <sheetName val="月産実績"/>
      <sheetName val="誤作策減額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>
        <row r="2">
          <cell r="I2" t="str"/>
          <cell r="L2" t="str"/>
        </row>
        <row r="3">
          <cell r="I3">
            <v>2134</v>
          </cell>
          <cell r="L3">
            <v>2</v>
          </cell>
        </row>
        <row r="4">
          <cell r="I4">
            <v>5807</v>
          </cell>
          <cell r="L4">
            <v>1.0626072041166379</v>
          </cell>
        </row>
        <row r="5">
          <cell r="I5">
            <v>3385</v>
          </cell>
          <cell r="L5">
            <v>0</v>
          </cell>
        </row>
        <row r="6">
          <cell r="I6">
            <v>4661</v>
          </cell>
          <cell r="L6">
            <v>1.9088016967126196</v>
          </cell>
        </row>
        <row r="7">
          <cell r="I7">
            <v>8687</v>
          </cell>
          <cell r="L7">
            <v>1.46271050521251</v>
          </cell>
        </row>
        <row r="8">
          <cell r="I8">
            <v>7054</v>
          </cell>
          <cell r="L8">
            <v>1.2910398953564421</v>
          </cell>
        </row>
        <row r="9">
          <cell r="I9">
            <v>8632</v>
          </cell>
          <cell r="L9">
            <v>3.4494047619047623</v>
          </cell>
        </row>
        <row r="10">
          <cell r="I10">
            <v>8048</v>
          </cell>
          <cell r="L10">
            <v>2.8340767172167709</v>
          </cell>
        </row>
        <row r="11">
          <cell r="I11">
            <v>7950</v>
          </cell>
          <cell r="L11">
            <v>1.8557343020238712</v>
          </cell>
        </row>
        <row r="12">
          <cell r="I12">
            <v>11245</v>
          </cell>
          <cell r="L12">
            <v>2.3917316439246266</v>
          </cell>
        </row>
        <row r="13">
          <cell r="I13">
            <v>6915</v>
          </cell>
          <cell r="L13">
            <v>2.1733288992351181</v>
          </cell>
        </row>
        <row r="14">
          <cell r="I14">
            <v>5955</v>
          </cell>
          <cell r="L14">
            <v>1.5397244209909116</v>
          </cell>
        </row>
        <row r="15">
          <cell r="I15">
            <v>7774</v>
          </cell>
          <cell r="L15">
            <v>2.0805710862619806</v>
          </cell>
        </row>
        <row r="16">
          <cell r="I16">
            <v>8517</v>
          </cell>
          <cell r="L16">
            <v>2.5572487473601391</v>
          </cell>
        </row>
        <row r="17">
          <cell r="I17">
            <v>7822</v>
          </cell>
          <cell r="L17">
            <v>2.4255199550309161</v>
          </cell>
        </row>
        <row r="18">
          <cell r="I18">
            <v>5573</v>
          </cell>
          <cell r="L18">
            <v>1.043790806568621</v>
          </cell>
        </row>
        <row r="19">
          <cell r="I19">
            <v>6829</v>
          </cell>
          <cell r="L19">
            <v>1.0817294281729428</v>
          </cell>
        </row>
        <row r="20">
          <cell r="I20">
            <v>7635</v>
          </cell>
          <cell r="L20">
            <v>1.2442507096101487</v>
          </cell>
        </row>
        <row r="21">
          <cell r="I21">
            <v>10984</v>
          </cell>
          <cell r="L21">
            <v>1.0014857205744787</v>
          </cell>
        </row>
        <row r="22">
          <cell r="I22">
            <v>8065</v>
          </cell>
          <cell r="L22">
            <v>1.8503688092729189</v>
          </cell>
        </row>
        <row r="23">
          <cell r="I23">
            <v>6778</v>
          </cell>
          <cell r="L23">
            <v>1.1140434451219514</v>
          </cell>
        </row>
      </sheetData>
      <sheetData sheetId="7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５月"/>
      <sheetName val="６月"/>
      <sheetName val="７月"/>
      <sheetName val="８月 "/>
      <sheetName val="９月"/>
      <sheetName val="１０月"/>
      <sheetName val="１１月"/>
      <sheetName val="１２月"/>
      <sheetName val="１月"/>
      <sheetName val="２月"/>
      <sheetName val="３月 "/>
      <sheetName val="4月"/>
      <sheetName val="適用率ｸﾞﾗﾌ"/>
      <sheetName val="Graph誤作"/>
      <sheetName val="Graph累積本数"/>
      <sheetName val="2002.4月改正一品 "/>
      <sheetName val="月産予定"/>
      <sheetName val="月産実績"/>
      <sheetName val="誤作策減額"/>
      <sheetName val="適用率ﾃﾞ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I2" t="str"/>
        </row>
        <row r="3">
          <cell r="I3">
            <v>2134</v>
          </cell>
        </row>
        <row r="4">
          <cell r="I4">
            <v>5807</v>
          </cell>
        </row>
        <row r="5">
          <cell r="I5">
            <v>3385</v>
          </cell>
        </row>
        <row r="6">
          <cell r="I6">
            <v>4661</v>
          </cell>
        </row>
        <row r="7">
          <cell r="I7">
            <v>8687</v>
          </cell>
        </row>
        <row r="8">
          <cell r="I8">
            <v>7054</v>
          </cell>
        </row>
        <row r="9">
          <cell r="I9">
            <v>8632</v>
          </cell>
        </row>
        <row r="10">
          <cell r="I10">
            <v>8048</v>
          </cell>
        </row>
        <row r="11">
          <cell r="I11">
            <v>7950</v>
          </cell>
        </row>
        <row r="12">
          <cell r="I12">
            <v>11245</v>
          </cell>
        </row>
        <row r="13">
          <cell r="I13">
            <v>6915</v>
          </cell>
        </row>
        <row r="14">
          <cell r="I14">
            <v>5955</v>
          </cell>
        </row>
        <row r="15">
          <cell r="I15">
            <v>7774</v>
          </cell>
        </row>
        <row r="16">
          <cell r="I16">
            <v>8517</v>
          </cell>
        </row>
        <row r="17">
          <cell r="I17">
            <v>7822</v>
          </cell>
        </row>
        <row r="18">
          <cell r="I18">
            <v>5573</v>
          </cell>
        </row>
        <row r="19">
          <cell r="I19">
            <v>6829</v>
          </cell>
        </row>
        <row r="20">
          <cell r="I20">
            <v>7635</v>
          </cell>
        </row>
        <row r="21">
          <cell r="I21">
            <v>10984</v>
          </cell>
        </row>
        <row r="22">
          <cell r="I22">
            <v>8065</v>
          </cell>
        </row>
        <row r="23">
          <cell r="I23">
            <v>6778</v>
          </cell>
        </row>
      </sheetData>
      <sheetData sheetId="18"/>
      <sheetData sheetId="19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２月"/>
      <sheetName val="３月"/>
      <sheetName val="４月"/>
      <sheetName val="５月"/>
      <sheetName val="６月"/>
      <sheetName val="７月"/>
      <sheetName val="８月 "/>
      <sheetName val="９月"/>
      <sheetName val="１０月"/>
      <sheetName val="１１月"/>
      <sheetName val="１２月"/>
      <sheetName val="Graph誤作"/>
      <sheetName val="Graph累積本数"/>
      <sheetName val="2002.12月改正一品 "/>
      <sheetName val="月産予定"/>
      <sheetName val="月産実績"/>
      <sheetName val="誤作策減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L2" t="str"/>
        </row>
        <row r="3">
          <cell r="L3">
            <v>2</v>
          </cell>
        </row>
        <row r="4">
          <cell r="L4">
            <v>1.0626072041166379</v>
          </cell>
        </row>
        <row r="5">
          <cell r="L5">
            <v>0</v>
          </cell>
        </row>
        <row r="6">
          <cell r="L6">
            <v>1.9088016967126196</v>
          </cell>
        </row>
        <row r="7">
          <cell r="L7">
            <v>1.46271050521251</v>
          </cell>
        </row>
        <row r="8">
          <cell r="L8">
            <v>1.2910398953564421</v>
          </cell>
        </row>
        <row r="9">
          <cell r="L9">
            <v>3.4494047619047623</v>
          </cell>
        </row>
        <row r="10">
          <cell r="L10">
            <v>2.8340767172167709</v>
          </cell>
        </row>
        <row r="11">
          <cell r="L11">
            <v>1.8557343020238712</v>
          </cell>
        </row>
        <row r="12">
          <cell r="L12">
            <v>2.3917316439246266</v>
          </cell>
        </row>
        <row r="13">
          <cell r="L13">
            <v>2.1733288992351181</v>
          </cell>
        </row>
        <row r="14">
          <cell r="L14">
            <v>1.5397244209909116</v>
          </cell>
        </row>
        <row r="15">
          <cell r="L15">
            <v>2.0805710862619806</v>
          </cell>
        </row>
        <row r="16">
          <cell r="L16">
            <v>2.5572487473601391</v>
          </cell>
        </row>
        <row r="17">
          <cell r="L17">
            <v>2.4255199550309161</v>
          </cell>
        </row>
        <row r="18">
          <cell r="L18">
            <v>1.043790806568621</v>
          </cell>
        </row>
        <row r="19">
          <cell r="L19">
            <v>1.0817294281729428</v>
          </cell>
        </row>
        <row r="20">
          <cell r="L20">
            <v>1.2442507096101487</v>
          </cell>
        </row>
        <row r="21">
          <cell r="L21">
            <v>1.0014857205744787</v>
          </cell>
        </row>
        <row r="22">
          <cell r="L22">
            <v>1.8503688092729189</v>
          </cell>
        </row>
        <row r="23">
          <cell r="L23">
            <v>1.1140434451219514</v>
          </cell>
        </row>
      </sheetData>
      <sheetData sheetId="16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データ"/>
      <sheetName val="ﾘｰｽ"/>
      <sheetName val="間接"/>
      <sheetName val="００設備"/>
      <sheetName val="修繕、消耗 区分け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管理職・専門職群"/>
    </sheetNames>
    <sheetDataSet>
      <sheetData sheetId="0">
        <row r="3">
          <cell r="A3" t="str">
            <v>年</v>
          </cell>
          <cell r="B3" t="str">
            <v>期</v>
          </cell>
          <cell r="C3" t="str">
            <v>個人コード</v>
          </cell>
          <cell r="D3" t="str">
            <v>氏名（漢字）</v>
          </cell>
          <cell r="E3" t="str">
            <v>グループ</v>
          </cell>
          <cell r="F3" t="str">
            <v>グループ名</v>
          </cell>
          <cell r="G3" t="str">
            <v>職群コード</v>
          </cell>
          <cell r="H3" t="str">
            <v>職種</v>
          </cell>
          <cell r="I3" t="str">
            <v>等級コード</v>
          </cell>
          <cell r="J3" t="str">
            <v>役職コード</v>
          </cell>
          <cell r="K3" t="str">
            <v>役職名</v>
          </cell>
          <cell r="L3" t="str">
            <v>現組織</v>
          </cell>
          <cell r="M3" t="str">
            <v>通年評価</v>
          </cell>
          <cell r="N3" t="str">
            <v>前期昇給点</v>
          </cell>
          <cell r="O3" t="str">
            <v>後期昇給点</v>
          </cell>
          <cell r="P3" t="str">
            <v>賞与評語</v>
          </cell>
          <cell r="Q3" t="str">
            <v>賞与点</v>
          </cell>
        </row>
        <row r="4">
          <cell r="A4" t="str">
            <v>2001</v>
          </cell>
          <cell r="B4" t="str">
            <v>後期</v>
          </cell>
          <cell r="C4" t="str">
            <v>1199050</v>
          </cell>
          <cell r="D4" t="str">
            <v xml:space="preserve">檀上　勝弘　　　　　</v>
          </cell>
          <cell r="E4" t="str">
            <v>04</v>
          </cell>
          <cell r="F4" t="str">
            <v xml:space="preserve">　（管理職・専門職群）</v>
          </cell>
          <cell r="G4" t="str">
            <v>11</v>
          </cell>
          <cell r="H4" t="str">
            <v>管理職</v>
          </cell>
          <cell r="I4" t="str">
            <v>06</v>
          </cell>
          <cell r="J4" t="str">
            <v>32</v>
          </cell>
          <cell r="K4" t="str">
            <v>部長</v>
          </cell>
          <cell r="L4" t="str">
            <v>出向出向ＴＨＩ</v>
          </cell>
          <cell r="M4" t="str">
            <v>A</v>
          </cell>
          <cell r="N4">
            <v>80</v>
          </cell>
          <cell r="O4">
            <v>78</v>
          </cell>
          <cell r="P4" t="str">
            <v>A</v>
          </cell>
          <cell r="Q4">
            <v>78</v>
          </cell>
        </row>
        <row r="5">
          <cell r="A5" t="str">
            <v>2001</v>
          </cell>
          <cell r="B5" t="str">
            <v>後期</v>
          </cell>
          <cell r="C5" t="str">
            <v>1178018</v>
          </cell>
          <cell r="D5" t="str">
            <v xml:space="preserve">小葉竹　泰則　　　　</v>
          </cell>
          <cell r="E5" t="str">
            <v>02</v>
          </cell>
          <cell r="F5" t="str">
            <v xml:space="preserve">　（管理職・専門職群）</v>
          </cell>
          <cell r="G5" t="str">
            <v>11</v>
          </cell>
          <cell r="H5" t="str">
            <v>管理職</v>
          </cell>
          <cell r="I5" t="str">
            <v>06</v>
          </cell>
          <cell r="J5" t="str">
            <v>32</v>
          </cell>
          <cell r="K5" t="str">
            <v>部長</v>
          </cell>
          <cell r="L5" t="str">
            <v>基本設計部</v>
          </cell>
          <cell r="M5" t="str">
            <v>A</v>
          </cell>
          <cell r="N5">
            <v>71</v>
          </cell>
          <cell r="O5">
            <v>73</v>
          </cell>
          <cell r="P5" t="str">
            <v>A</v>
          </cell>
          <cell r="Q5">
            <v>73</v>
          </cell>
        </row>
        <row r="6">
          <cell r="A6" t="str">
            <v>2001</v>
          </cell>
          <cell r="B6" t="str">
            <v>後期</v>
          </cell>
          <cell r="C6" t="str">
            <v>1197002</v>
          </cell>
          <cell r="D6" t="str">
            <v xml:space="preserve">平川　方一　　　　　</v>
          </cell>
          <cell r="E6" t="str">
            <v>03</v>
          </cell>
          <cell r="F6" t="str">
            <v xml:space="preserve">　（管理職・専門職群）</v>
          </cell>
          <cell r="G6" t="str">
            <v>11</v>
          </cell>
          <cell r="H6" t="str">
            <v>管理職</v>
          </cell>
          <cell r="I6" t="str">
            <v>06</v>
          </cell>
          <cell r="J6" t="str">
            <v>32</v>
          </cell>
          <cell r="K6" t="str">
            <v>部長</v>
          </cell>
          <cell r="L6" t="str">
            <v>修繕工場</v>
          </cell>
          <cell r="M6" t="str">
            <v>A</v>
          </cell>
          <cell r="N6">
            <v>62</v>
          </cell>
          <cell r="O6">
            <v>78</v>
          </cell>
          <cell r="P6" t="str">
            <v>A</v>
          </cell>
          <cell r="Q6">
            <v>78</v>
          </cell>
        </row>
        <row r="7">
          <cell r="A7" t="str">
            <v>2001</v>
          </cell>
          <cell r="B7" t="str">
            <v>後期</v>
          </cell>
          <cell r="C7" t="str">
            <v>1198004</v>
          </cell>
          <cell r="D7" t="str">
            <v xml:space="preserve">重松　裕　　　　　　</v>
          </cell>
          <cell r="E7" t="str">
            <v>01</v>
          </cell>
          <cell r="F7" t="str">
            <v xml:space="preserve">　（管理職・専門職群）</v>
          </cell>
          <cell r="G7" t="str">
            <v>11</v>
          </cell>
          <cell r="H7" t="str">
            <v>管理職</v>
          </cell>
          <cell r="I7" t="str">
            <v>06</v>
          </cell>
          <cell r="J7" t="str">
            <v>32</v>
          </cell>
          <cell r="K7" t="str">
            <v>部長</v>
          </cell>
          <cell r="L7" t="str">
            <v>グループ管理室</v>
          </cell>
          <cell r="M7" t="str">
            <v>A</v>
          </cell>
          <cell r="N7">
            <v>70</v>
          </cell>
          <cell r="O7">
            <v>78</v>
          </cell>
          <cell r="P7" t="str">
            <v>A</v>
          </cell>
          <cell r="Q7">
            <v>78</v>
          </cell>
        </row>
        <row r="8">
          <cell r="A8" t="str">
            <v>2001</v>
          </cell>
          <cell r="B8" t="str">
            <v>後期</v>
          </cell>
          <cell r="C8" t="str">
            <v>1102030</v>
          </cell>
          <cell r="D8" t="str">
            <v>内海　誠一</v>
          </cell>
          <cell r="E8" t="str">
            <v>01</v>
          </cell>
          <cell r="F8" t="str">
            <v xml:space="preserve">　（管理職・専門職群）</v>
          </cell>
          <cell r="G8" t="str">
            <v>11</v>
          </cell>
          <cell r="H8" t="str">
            <v>管理職</v>
          </cell>
          <cell r="I8" t="str">
            <v>06</v>
          </cell>
          <cell r="J8" t="str">
            <v>32</v>
          </cell>
          <cell r="K8" t="str">
            <v>部長</v>
          </cell>
          <cell r="L8" t="str">
            <v>総務部</v>
          </cell>
          <cell r="M8" t="str">
            <v>B</v>
          </cell>
          <cell r="N8">
            <v>0</v>
          </cell>
          <cell r="O8">
            <v>58</v>
          </cell>
          <cell r="P8" t="str">
            <v>B</v>
          </cell>
          <cell r="Q8">
            <v>58</v>
          </cell>
        </row>
        <row r="9">
          <cell r="A9" t="str">
            <v>2001</v>
          </cell>
          <cell r="B9" t="str">
            <v>後期</v>
          </cell>
          <cell r="C9" t="str">
            <v>1164008</v>
          </cell>
          <cell r="D9" t="str">
            <v xml:space="preserve">渡辺　幸則　　　　　</v>
          </cell>
          <cell r="E9" t="str">
            <v>03</v>
          </cell>
          <cell r="F9" t="str">
            <v xml:space="preserve">　（管理職・専門職群）</v>
          </cell>
          <cell r="G9" t="str">
            <v>11</v>
          </cell>
          <cell r="H9" t="str">
            <v>管理職</v>
          </cell>
          <cell r="I9" t="str">
            <v>06</v>
          </cell>
          <cell r="J9" t="str">
            <v>32</v>
          </cell>
          <cell r="K9" t="str">
            <v>部長</v>
          </cell>
          <cell r="L9" t="str">
            <v>修繕業務部</v>
          </cell>
          <cell r="M9" t="str">
            <v>B</v>
          </cell>
          <cell r="N9">
            <v>74</v>
          </cell>
          <cell r="O9">
            <v>72</v>
          </cell>
          <cell r="P9" t="str">
            <v>B</v>
          </cell>
          <cell r="Q9">
            <v>72</v>
          </cell>
        </row>
        <row r="10">
          <cell r="A10" t="str">
            <v>2001</v>
          </cell>
          <cell r="B10" t="str">
            <v>後期</v>
          </cell>
          <cell r="C10" t="str">
            <v>1170503</v>
          </cell>
          <cell r="D10" t="str">
            <v>宇佐美　宣章</v>
          </cell>
          <cell r="E10" t="str">
            <v>02</v>
          </cell>
          <cell r="F10" t="str">
            <v xml:space="preserve">　（管理職・専門職群）</v>
          </cell>
          <cell r="G10" t="str">
            <v>11</v>
          </cell>
          <cell r="H10" t="str">
            <v>管理職</v>
          </cell>
          <cell r="I10" t="str">
            <v>06</v>
          </cell>
          <cell r="J10" t="str">
            <v>32</v>
          </cell>
          <cell r="K10" t="str">
            <v>部長</v>
          </cell>
          <cell r="L10" t="str">
            <v>常石工場・品質管理部</v>
          </cell>
          <cell r="M10" t="str">
            <v>B</v>
          </cell>
          <cell r="N10">
            <v>62</v>
          </cell>
          <cell r="O10">
            <v>64</v>
          </cell>
          <cell r="P10" t="str">
            <v>B</v>
          </cell>
          <cell r="Q10">
            <v>64</v>
          </cell>
        </row>
        <row r="11">
          <cell r="A11" t="str">
            <v>2001</v>
          </cell>
          <cell r="B11" t="str">
            <v>後期</v>
          </cell>
          <cell r="C11" t="str">
            <v>1174021</v>
          </cell>
          <cell r="D11" t="str">
            <v xml:space="preserve">松下　秀雄　　　　　</v>
          </cell>
          <cell r="E11" t="str">
            <v>02</v>
          </cell>
          <cell r="F11" t="str">
            <v xml:space="preserve">　（管理職・専門職群）</v>
          </cell>
          <cell r="G11" t="str">
            <v>11</v>
          </cell>
          <cell r="H11" t="str">
            <v>管理職</v>
          </cell>
          <cell r="I11" t="str">
            <v>06</v>
          </cell>
          <cell r="J11" t="str">
            <v>32</v>
          </cell>
          <cell r="K11" t="str">
            <v>部長</v>
          </cell>
          <cell r="L11" t="str">
            <v>船殻部</v>
          </cell>
          <cell r="M11" t="str">
            <v>B</v>
          </cell>
          <cell r="N11">
            <v>62</v>
          </cell>
          <cell r="O11">
            <v>64</v>
          </cell>
          <cell r="P11" t="str">
            <v>B</v>
          </cell>
          <cell r="Q11">
            <v>64</v>
          </cell>
        </row>
        <row r="12">
          <cell r="A12" t="str">
            <v>2001</v>
          </cell>
          <cell r="B12" t="str">
            <v>後期</v>
          </cell>
          <cell r="C12" t="str">
            <v>1178024</v>
          </cell>
          <cell r="D12" t="str">
            <v xml:space="preserve">長谷川　弘　　　　　</v>
          </cell>
          <cell r="E12" t="str">
            <v>02</v>
          </cell>
          <cell r="F12" t="str">
            <v xml:space="preserve">　（管理職・専門職群）</v>
          </cell>
          <cell r="G12" t="str">
            <v>11</v>
          </cell>
          <cell r="H12" t="str">
            <v>管理職</v>
          </cell>
          <cell r="I12" t="str">
            <v>06</v>
          </cell>
          <cell r="J12" t="str">
            <v>32</v>
          </cell>
          <cell r="K12" t="str">
            <v>部長</v>
          </cell>
          <cell r="L12" t="str">
            <v>艤装部</v>
          </cell>
          <cell r="M12" t="str">
            <v>B</v>
          </cell>
          <cell r="N12">
            <v>62</v>
          </cell>
          <cell r="O12">
            <v>63</v>
          </cell>
          <cell r="P12" t="str">
            <v>B</v>
          </cell>
          <cell r="Q12">
            <v>63</v>
          </cell>
        </row>
        <row r="13">
          <cell r="A13" t="str">
            <v>2001</v>
          </cell>
          <cell r="B13" t="str">
            <v>後期</v>
          </cell>
          <cell r="C13" t="str">
            <v>1182040</v>
          </cell>
          <cell r="D13" t="str">
            <v xml:space="preserve">佐藤　二郎　　　　　</v>
          </cell>
          <cell r="E13" t="str">
            <v>03</v>
          </cell>
          <cell r="F13" t="str">
            <v xml:space="preserve">　（管理職・専門職群）</v>
          </cell>
          <cell r="G13" t="str">
            <v>11</v>
          </cell>
          <cell r="H13" t="str">
            <v>管理職</v>
          </cell>
          <cell r="I13" t="str">
            <v>06</v>
          </cell>
          <cell r="J13" t="str">
            <v>32</v>
          </cell>
          <cell r="K13" t="str">
            <v>部長</v>
          </cell>
          <cell r="L13" t="str">
            <v>修繕工作部</v>
          </cell>
          <cell r="M13" t="str">
            <v>B</v>
          </cell>
          <cell r="N13">
            <v>73</v>
          </cell>
          <cell r="O13">
            <v>68</v>
          </cell>
          <cell r="P13" t="str">
            <v>B</v>
          </cell>
          <cell r="Q13">
            <v>68</v>
          </cell>
        </row>
        <row r="14">
          <cell r="A14" t="str">
            <v>2001</v>
          </cell>
          <cell r="B14" t="str">
            <v>後期</v>
          </cell>
          <cell r="C14" t="str">
            <v>1182042</v>
          </cell>
          <cell r="D14" t="str">
            <v xml:space="preserve">岸田　恭典　　　　　</v>
          </cell>
          <cell r="E14" t="str">
            <v>01</v>
          </cell>
          <cell r="F14" t="str">
            <v xml:space="preserve">　（管理職・専門職群）</v>
          </cell>
          <cell r="G14" t="str">
            <v>11</v>
          </cell>
          <cell r="H14" t="str">
            <v>管理職</v>
          </cell>
          <cell r="I14" t="str">
            <v>06</v>
          </cell>
          <cell r="J14" t="str">
            <v>32</v>
          </cell>
          <cell r="K14" t="str">
            <v>部長</v>
          </cell>
          <cell r="L14" t="str">
            <v>財務部</v>
          </cell>
          <cell r="M14" t="str">
            <v>B</v>
          </cell>
          <cell r="N14">
            <v>66</v>
          </cell>
          <cell r="O14">
            <v>60</v>
          </cell>
          <cell r="P14" t="str">
            <v>B</v>
          </cell>
          <cell r="Q14">
            <v>60</v>
          </cell>
        </row>
        <row r="15">
          <cell r="A15" t="str">
            <v>2001</v>
          </cell>
          <cell r="B15" t="str">
            <v>後期</v>
          </cell>
          <cell r="C15" t="str">
            <v>1183002</v>
          </cell>
          <cell r="D15" t="str">
            <v xml:space="preserve">河野　仁至　　　　　</v>
          </cell>
          <cell r="E15" t="str">
            <v>01</v>
          </cell>
          <cell r="F15" t="str">
            <v xml:space="preserve">　（管理職・専門職群）</v>
          </cell>
          <cell r="G15" t="str">
            <v>11</v>
          </cell>
          <cell r="H15" t="str">
            <v>管理職</v>
          </cell>
          <cell r="I15" t="str">
            <v>06</v>
          </cell>
          <cell r="J15" t="str">
            <v>32</v>
          </cell>
          <cell r="K15" t="str">
            <v>部長</v>
          </cell>
          <cell r="L15" t="str">
            <v>調達部</v>
          </cell>
          <cell r="M15" t="str">
            <v>B</v>
          </cell>
          <cell r="N15">
            <v>67</v>
          </cell>
          <cell r="O15">
            <v>63</v>
          </cell>
          <cell r="P15" t="str">
            <v>B</v>
          </cell>
          <cell r="Q15">
            <v>63</v>
          </cell>
        </row>
        <row r="16">
          <cell r="A16" t="str">
            <v>2001</v>
          </cell>
          <cell r="B16" t="str">
            <v>後期</v>
          </cell>
          <cell r="C16" t="str">
            <v>1191063</v>
          </cell>
          <cell r="D16" t="str">
            <v xml:space="preserve">岩竹　民哉　　　　　</v>
          </cell>
          <cell r="E16" t="str">
            <v>01</v>
          </cell>
          <cell r="F16" t="str">
            <v xml:space="preserve">　（管理職・専門職群）</v>
          </cell>
          <cell r="G16" t="str">
            <v>11</v>
          </cell>
          <cell r="H16" t="str">
            <v>管理職</v>
          </cell>
          <cell r="I16" t="str">
            <v>06</v>
          </cell>
          <cell r="J16" t="str">
            <v>32</v>
          </cell>
          <cell r="K16" t="str">
            <v>部長</v>
          </cell>
          <cell r="L16" t="str">
            <v>中国室</v>
          </cell>
          <cell r="M16" t="str">
            <v>B</v>
          </cell>
          <cell r="N16">
            <v>55</v>
          </cell>
          <cell r="O16">
            <v>62</v>
          </cell>
          <cell r="P16" t="str">
            <v>B</v>
          </cell>
          <cell r="Q16">
            <v>62</v>
          </cell>
        </row>
        <row r="17">
          <cell r="A17" t="str">
            <v>2001</v>
          </cell>
          <cell r="B17" t="str">
            <v>後期</v>
          </cell>
          <cell r="C17" t="str">
            <v>1198006</v>
          </cell>
          <cell r="D17" t="str">
            <v xml:space="preserve">松村　政信　　　　　</v>
          </cell>
          <cell r="E17" t="str">
            <v>01</v>
          </cell>
          <cell r="F17" t="str">
            <v xml:space="preserve">　（管理職・専門職群）</v>
          </cell>
          <cell r="G17" t="str">
            <v>11</v>
          </cell>
          <cell r="H17" t="str">
            <v>管理職</v>
          </cell>
          <cell r="I17" t="str">
            <v>06</v>
          </cell>
          <cell r="J17" t="str">
            <v>32</v>
          </cell>
          <cell r="K17" t="str">
            <v>部長</v>
          </cell>
          <cell r="L17" t="str">
            <v>第二営業部</v>
          </cell>
          <cell r="M17" t="str">
            <v>B</v>
          </cell>
          <cell r="N17">
            <v>62</v>
          </cell>
          <cell r="O17">
            <v>63</v>
          </cell>
          <cell r="P17" t="str">
            <v>B</v>
          </cell>
          <cell r="Q17">
            <v>63</v>
          </cell>
        </row>
        <row r="18">
          <cell r="A18" t="str">
            <v>2001</v>
          </cell>
          <cell r="B18" t="str">
            <v>後期</v>
          </cell>
          <cell r="C18" t="str">
            <v>1198058</v>
          </cell>
          <cell r="D18" t="str">
            <v xml:space="preserve">小田　一夫　　　　　</v>
          </cell>
          <cell r="E18" t="str">
            <v>01</v>
          </cell>
          <cell r="F18" t="str">
            <v xml:space="preserve">　（管理職・専門職群）</v>
          </cell>
          <cell r="G18" t="str">
            <v>11</v>
          </cell>
          <cell r="H18" t="str">
            <v>管理職</v>
          </cell>
          <cell r="I18" t="str">
            <v>06</v>
          </cell>
          <cell r="J18" t="str">
            <v>32</v>
          </cell>
          <cell r="K18" t="str">
            <v>部長</v>
          </cell>
          <cell r="L18" t="str">
            <v>人事部</v>
          </cell>
          <cell r="M18" t="str">
            <v>B</v>
          </cell>
          <cell r="N18">
            <v>65</v>
          </cell>
          <cell r="O18">
            <v>0</v>
          </cell>
          <cell r="P18" t="str">
            <v>B</v>
          </cell>
          <cell r="Q18">
            <v>0</v>
          </cell>
        </row>
        <row r="19">
          <cell r="A19" t="str">
            <v>2001</v>
          </cell>
          <cell r="B19" t="str">
            <v>後期</v>
          </cell>
          <cell r="C19" t="str">
            <v>1462501</v>
          </cell>
          <cell r="D19" t="str">
            <v>石田　文一</v>
          </cell>
          <cell r="E19" t="str">
            <v>02</v>
          </cell>
          <cell r="F19" t="str">
            <v xml:space="preserve">　（管理職・専門職群）</v>
          </cell>
          <cell r="G19" t="str">
            <v>11</v>
          </cell>
          <cell r="H19" t="str">
            <v>管理職</v>
          </cell>
          <cell r="I19" t="str">
            <v>06</v>
          </cell>
          <cell r="J19" t="str">
            <v>32</v>
          </cell>
          <cell r="K19" t="str">
            <v>部長</v>
          </cell>
          <cell r="L19" t="str">
            <v>多度津・造船部</v>
          </cell>
          <cell r="M19" t="str">
            <v>B</v>
          </cell>
          <cell r="N19">
            <v>67</v>
          </cell>
          <cell r="O19">
            <v>64</v>
          </cell>
          <cell r="P19" t="str">
            <v>B</v>
          </cell>
          <cell r="Q19">
            <v>64</v>
          </cell>
        </row>
        <row r="20">
          <cell r="A20" t="str">
            <v>2001</v>
          </cell>
          <cell r="B20" t="str">
            <v>後期</v>
          </cell>
          <cell r="C20" t="str">
            <v>1468502</v>
          </cell>
          <cell r="D20" t="str">
            <v>金守　武彦</v>
          </cell>
          <cell r="E20" t="str">
            <v>04</v>
          </cell>
          <cell r="F20" t="str">
            <v xml:space="preserve">　（管理職・専門職群）</v>
          </cell>
          <cell r="G20" t="str">
            <v>11</v>
          </cell>
          <cell r="H20" t="str">
            <v>管理職</v>
          </cell>
          <cell r="I20" t="str">
            <v>06</v>
          </cell>
          <cell r="J20" t="str">
            <v>32</v>
          </cell>
          <cell r="K20" t="str">
            <v>部長</v>
          </cell>
          <cell r="L20" t="str">
            <v>出向出向ハシゾウ水産</v>
          </cell>
          <cell r="M20" t="str">
            <v>B</v>
          </cell>
          <cell r="N20">
            <v>0</v>
          </cell>
          <cell r="O20">
            <v>0</v>
          </cell>
          <cell r="P20" t="str">
            <v>B</v>
          </cell>
          <cell r="Q20">
            <v>0</v>
          </cell>
        </row>
        <row r="21">
          <cell r="A21" t="str">
            <v>2001</v>
          </cell>
          <cell r="B21" t="str">
            <v>後期</v>
          </cell>
          <cell r="C21" t="str">
            <v>1470504</v>
          </cell>
          <cell r="D21" t="str">
            <v>森田　敏幸</v>
          </cell>
          <cell r="E21" t="str">
            <v>02</v>
          </cell>
          <cell r="F21" t="str">
            <v xml:space="preserve">　（管理職・専門職群）</v>
          </cell>
          <cell r="G21" t="str">
            <v>11</v>
          </cell>
          <cell r="H21" t="str">
            <v>管理職</v>
          </cell>
          <cell r="I21" t="str">
            <v>06</v>
          </cell>
          <cell r="J21" t="str">
            <v>32</v>
          </cell>
          <cell r="K21" t="str">
            <v>部長</v>
          </cell>
          <cell r="L21" t="str">
            <v>多度津工場・品質管理</v>
          </cell>
          <cell r="M21" t="str">
            <v>B</v>
          </cell>
          <cell r="N21">
            <v>59</v>
          </cell>
          <cell r="O21">
            <v>62</v>
          </cell>
          <cell r="P21" t="str">
            <v>B</v>
          </cell>
          <cell r="Q21">
            <v>62</v>
          </cell>
        </row>
        <row r="22">
          <cell r="A22" t="str">
            <v>2001</v>
          </cell>
          <cell r="B22" t="str">
            <v>後期</v>
          </cell>
          <cell r="C22" t="str">
            <v>1169020</v>
          </cell>
          <cell r="D22" t="str">
            <v xml:space="preserve">黒島　博行　　　　　</v>
          </cell>
          <cell r="E22" t="str">
            <v>02</v>
          </cell>
          <cell r="F22" t="str">
            <v xml:space="preserve">　（管理職・専門職群）</v>
          </cell>
          <cell r="G22" t="str">
            <v>11</v>
          </cell>
          <cell r="H22" t="str">
            <v>管理職</v>
          </cell>
          <cell r="I22" t="str">
            <v>06</v>
          </cell>
          <cell r="J22" t="str">
            <v>32</v>
          </cell>
          <cell r="K22" t="str">
            <v>部長</v>
          </cell>
          <cell r="L22" t="str">
            <v>造船戦略室</v>
          </cell>
          <cell r="M22" t="str">
            <v>B</v>
          </cell>
          <cell r="N22">
            <v>0</v>
          </cell>
          <cell r="O22">
            <v>65</v>
          </cell>
          <cell r="P22" t="str">
            <v>B</v>
          </cell>
          <cell r="Q22">
            <v>65</v>
          </cell>
        </row>
        <row r="23">
          <cell r="A23" t="str">
            <v>2001</v>
          </cell>
          <cell r="B23" t="str">
            <v>後期</v>
          </cell>
          <cell r="C23" t="str">
            <v>1171041</v>
          </cell>
          <cell r="D23" t="str">
            <v xml:space="preserve">日谷　修三　　　　　</v>
          </cell>
          <cell r="E23" t="str">
            <v>02</v>
          </cell>
          <cell r="F23" t="str">
            <v xml:space="preserve">　（管理職・専門職群）</v>
          </cell>
          <cell r="G23" t="str">
            <v>11</v>
          </cell>
          <cell r="H23" t="str">
            <v>管理職</v>
          </cell>
          <cell r="I23" t="str">
            <v>06</v>
          </cell>
          <cell r="J23" t="str">
            <v>32</v>
          </cell>
          <cell r="K23" t="str">
            <v>部長</v>
          </cell>
          <cell r="L23" t="str">
            <v>常石・工場支援室</v>
          </cell>
          <cell r="M23" t="str">
            <v>B</v>
          </cell>
          <cell r="N23">
            <v>52</v>
          </cell>
          <cell r="O23">
            <v>61</v>
          </cell>
          <cell r="P23" t="str">
            <v>B</v>
          </cell>
          <cell r="Q23">
            <v>61</v>
          </cell>
        </row>
        <row r="24">
          <cell r="A24" t="str">
            <v>2001</v>
          </cell>
          <cell r="B24" t="str">
            <v>後期</v>
          </cell>
          <cell r="C24" t="str">
            <v>1174009</v>
          </cell>
          <cell r="D24" t="str">
            <v xml:space="preserve">遠部　正明　　　　　</v>
          </cell>
          <cell r="E24" t="str">
            <v>02</v>
          </cell>
          <cell r="F24" t="str">
            <v xml:space="preserve">　（管理職・専門職群）</v>
          </cell>
          <cell r="G24" t="str">
            <v>11</v>
          </cell>
          <cell r="H24" t="str">
            <v>管理職</v>
          </cell>
          <cell r="I24" t="str">
            <v>06</v>
          </cell>
          <cell r="J24" t="str">
            <v>32</v>
          </cell>
          <cell r="K24" t="str">
            <v>部長</v>
          </cell>
          <cell r="L24" t="str">
            <v>見積室</v>
          </cell>
          <cell r="M24" t="str">
            <v>B</v>
          </cell>
          <cell r="N24">
            <v>69</v>
          </cell>
          <cell r="O24">
            <v>64</v>
          </cell>
          <cell r="P24" t="str">
            <v>B</v>
          </cell>
          <cell r="Q24">
            <v>64</v>
          </cell>
        </row>
        <row r="25">
          <cell r="A25" t="str">
            <v>2001</v>
          </cell>
          <cell r="B25" t="str">
            <v>後期</v>
          </cell>
          <cell r="C25" t="str">
            <v>1296201</v>
          </cell>
          <cell r="D25" t="str">
            <v xml:space="preserve">広田　耕一　　　　　</v>
          </cell>
          <cell r="E25" t="str">
            <v>01</v>
          </cell>
          <cell r="F25" t="str">
            <v xml:space="preserve">　（管理職・専門職群）</v>
          </cell>
          <cell r="G25" t="str">
            <v>11</v>
          </cell>
          <cell r="H25" t="str">
            <v>管理職</v>
          </cell>
          <cell r="I25" t="str">
            <v>06</v>
          </cell>
          <cell r="J25" t="str">
            <v>32</v>
          </cell>
          <cell r="K25" t="str">
            <v>部長</v>
          </cell>
          <cell r="L25" t="str">
            <v>営業本部</v>
          </cell>
          <cell r="M25" t="str">
            <v>B</v>
          </cell>
          <cell r="N25">
            <v>0</v>
          </cell>
          <cell r="O25">
            <v>63</v>
          </cell>
          <cell r="P25" t="str">
            <v>B</v>
          </cell>
          <cell r="Q25">
            <v>63</v>
          </cell>
        </row>
        <row r="26">
          <cell r="A26" t="str">
            <v>2001</v>
          </cell>
          <cell r="B26" t="str">
            <v>後期</v>
          </cell>
          <cell r="C26" t="str">
            <v>1172003</v>
          </cell>
          <cell r="D26" t="str">
            <v xml:space="preserve">小林　公司　　　　　</v>
          </cell>
          <cell r="E26" t="str">
            <v>01</v>
          </cell>
          <cell r="F26" t="str">
            <v xml:space="preserve">　（管理職・専門職群）</v>
          </cell>
          <cell r="G26" t="str">
            <v>11</v>
          </cell>
          <cell r="H26" t="str">
            <v>管理職</v>
          </cell>
          <cell r="I26" t="str">
            <v>06</v>
          </cell>
          <cell r="J26" t="str">
            <v>32</v>
          </cell>
          <cell r="K26" t="str">
            <v>部長</v>
          </cell>
          <cell r="L26" t="str">
            <v>中国室</v>
          </cell>
          <cell r="M26" t="str">
            <v>B</v>
          </cell>
          <cell r="N26">
            <v>0</v>
          </cell>
          <cell r="O26">
            <v>59</v>
          </cell>
          <cell r="P26" t="str">
            <v>B-</v>
          </cell>
          <cell r="Q26">
            <v>59</v>
          </cell>
        </row>
        <row r="27">
          <cell r="A27" t="str">
            <v>2001</v>
          </cell>
          <cell r="B27" t="str">
            <v>後期</v>
          </cell>
          <cell r="C27" t="str">
            <v>1198043</v>
          </cell>
          <cell r="D27" t="str">
            <v xml:space="preserve">福島　悟　　　　　　</v>
          </cell>
          <cell r="E27" t="str">
            <v>01</v>
          </cell>
          <cell r="F27" t="str">
            <v xml:space="preserve">　（管理職・専門職群）</v>
          </cell>
          <cell r="G27" t="str">
            <v>11</v>
          </cell>
          <cell r="H27" t="str">
            <v>管理職</v>
          </cell>
          <cell r="I27" t="str">
            <v>06</v>
          </cell>
          <cell r="J27" t="str">
            <v>32</v>
          </cell>
          <cell r="K27" t="str">
            <v>部長</v>
          </cell>
          <cell r="L27" t="str">
            <v>中国室</v>
          </cell>
          <cell r="M27" t="str">
            <v>B</v>
          </cell>
          <cell r="N27">
            <v>0</v>
          </cell>
          <cell r="O27">
            <v>60</v>
          </cell>
          <cell r="P27" t="str">
            <v>B-</v>
          </cell>
          <cell r="Q27">
            <v>60</v>
          </cell>
        </row>
        <row r="28">
          <cell r="A28" t="str">
            <v>2001</v>
          </cell>
          <cell r="B28" t="str">
            <v>後期</v>
          </cell>
          <cell r="C28" t="str">
            <v>1177026</v>
          </cell>
          <cell r="D28" t="str">
            <v xml:space="preserve">藤井　信昭　　　　　</v>
          </cell>
          <cell r="E28" t="str">
            <v>01</v>
          </cell>
          <cell r="F28" t="str">
            <v xml:space="preserve">　（管理職・専門職群）</v>
          </cell>
          <cell r="G28" t="str">
            <v>11</v>
          </cell>
          <cell r="H28" t="str">
            <v>管理職</v>
          </cell>
          <cell r="I28" t="str">
            <v>06</v>
          </cell>
          <cell r="J28" t="str">
            <v>32</v>
          </cell>
          <cell r="K28" t="str">
            <v>部長</v>
          </cell>
          <cell r="L28" t="str">
            <v>第一営業部</v>
          </cell>
          <cell r="M28" t="str">
            <v>B</v>
          </cell>
          <cell r="N28">
            <v>0</v>
          </cell>
          <cell r="O28">
            <v>66</v>
          </cell>
          <cell r="P28" t="str">
            <v>B+</v>
          </cell>
          <cell r="Q28">
            <v>66</v>
          </cell>
        </row>
        <row r="29">
          <cell r="A29" t="str">
            <v>2001</v>
          </cell>
          <cell r="B29" t="str">
            <v>後期</v>
          </cell>
          <cell r="C29" t="str">
            <v>1190071</v>
          </cell>
          <cell r="D29" t="str">
            <v xml:space="preserve">佐藤　啓史　　　　　</v>
          </cell>
          <cell r="E29" t="str">
            <v>01</v>
          </cell>
          <cell r="F29" t="str">
            <v xml:space="preserve">　（管理職・専門職群）</v>
          </cell>
          <cell r="G29" t="str">
            <v>11</v>
          </cell>
          <cell r="H29" t="str">
            <v>管理職</v>
          </cell>
          <cell r="I29" t="str">
            <v>06</v>
          </cell>
          <cell r="J29" t="str">
            <v>32</v>
          </cell>
          <cell r="K29" t="str">
            <v>部長</v>
          </cell>
          <cell r="L29" t="str">
            <v>営業本部</v>
          </cell>
          <cell r="M29" t="str">
            <v>B</v>
          </cell>
          <cell r="N29">
            <v>70</v>
          </cell>
          <cell r="O29">
            <v>68</v>
          </cell>
          <cell r="P29" t="str">
            <v>B+</v>
          </cell>
          <cell r="Q29">
            <v>68</v>
          </cell>
        </row>
        <row r="30">
          <cell r="A30" t="str">
            <v>2001</v>
          </cell>
          <cell r="B30" t="str">
            <v>後期</v>
          </cell>
          <cell r="C30" t="str">
            <v>1177019</v>
          </cell>
          <cell r="D30" t="str">
            <v xml:space="preserve">濱崎　準一　　　　　</v>
          </cell>
          <cell r="E30" t="str">
            <v>02</v>
          </cell>
          <cell r="F30" t="str">
            <v xml:space="preserve">　（管理職・専門職群）</v>
          </cell>
          <cell r="G30" t="str">
            <v>11</v>
          </cell>
          <cell r="H30" t="str">
            <v>管理職</v>
          </cell>
          <cell r="I30" t="str">
            <v>06</v>
          </cell>
          <cell r="J30" t="str">
            <v>32</v>
          </cell>
          <cell r="K30" t="str">
            <v>部長</v>
          </cell>
          <cell r="L30" t="str">
            <v>設計技術室</v>
          </cell>
          <cell r="M30" t="str">
            <v>B</v>
          </cell>
          <cell r="N30">
            <v>69</v>
          </cell>
          <cell r="O30">
            <v>68</v>
          </cell>
          <cell r="P30" t="str">
            <v>B+</v>
          </cell>
          <cell r="Q30">
            <v>68</v>
          </cell>
        </row>
        <row r="31">
          <cell r="A31" t="str">
            <v>2001</v>
          </cell>
          <cell r="B31" t="str">
            <v>後期</v>
          </cell>
          <cell r="C31" t="str">
            <v>1181008</v>
          </cell>
          <cell r="D31" t="str">
            <v xml:space="preserve">佐藤　俊夫　　　　　</v>
          </cell>
          <cell r="E31" t="str">
            <v>02</v>
          </cell>
          <cell r="F31" t="str">
            <v xml:space="preserve">　（管理職・専門職群）</v>
          </cell>
          <cell r="G31" t="str">
            <v>11</v>
          </cell>
          <cell r="H31" t="str">
            <v>管理職</v>
          </cell>
          <cell r="I31" t="str">
            <v>06</v>
          </cell>
          <cell r="J31" t="str">
            <v>32</v>
          </cell>
          <cell r="K31" t="str">
            <v>部長</v>
          </cell>
          <cell r="L31" t="str">
            <v>品質管理統括部</v>
          </cell>
          <cell r="M31" t="str">
            <v>B</v>
          </cell>
          <cell r="N31">
            <v>64</v>
          </cell>
          <cell r="O31">
            <v>65</v>
          </cell>
          <cell r="P31" t="str">
            <v>B+</v>
          </cell>
          <cell r="Q31">
            <v>65</v>
          </cell>
        </row>
        <row r="32">
          <cell r="A32" t="str">
            <v>2001</v>
          </cell>
          <cell r="B32" t="str">
            <v>後期</v>
          </cell>
          <cell r="C32" t="str">
            <v>1168506</v>
          </cell>
          <cell r="D32" t="str">
            <v>阿部　瑛二</v>
          </cell>
          <cell r="E32" t="str">
            <v>01</v>
          </cell>
          <cell r="F32" t="str">
            <v xml:space="preserve">　（管理職・専門職群）</v>
          </cell>
          <cell r="G32" t="str">
            <v>11</v>
          </cell>
          <cell r="H32" t="str">
            <v>管理職</v>
          </cell>
          <cell r="I32" t="str">
            <v>06</v>
          </cell>
          <cell r="J32" t="str">
            <v>32</v>
          </cell>
          <cell r="K32" t="str">
            <v>部長</v>
          </cell>
          <cell r="L32" t="str">
            <v>人材活用プロジェクト</v>
          </cell>
          <cell r="M32" t="str">
            <v>B</v>
          </cell>
          <cell r="N32">
            <v>0</v>
          </cell>
          <cell r="O32">
            <v>66</v>
          </cell>
          <cell r="P32" t="str">
            <v>B+</v>
          </cell>
          <cell r="Q32">
            <v>66</v>
          </cell>
        </row>
        <row r="33">
          <cell r="A33" t="str">
            <v>2001</v>
          </cell>
          <cell r="B33" t="str">
            <v>後期</v>
          </cell>
          <cell r="C33" t="str">
            <v>1187004</v>
          </cell>
          <cell r="D33" t="str">
            <v xml:space="preserve">青景　和成　　　　　</v>
          </cell>
          <cell r="E33" t="str">
            <v>04</v>
          </cell>
          <cell r="F33" t="str">
            <v xml:space="preserve">　（管理職・専門職群）</v>
          </cell>
          <cell r="G33" t="str">
            <v>11</v>
          </cell>
          <cell r="H33" t="str">
            <v>管理職</v>
          </cell>
          <cell r="I33" t="str">
            <v>06</v>
          </cell>
          <cell r="J33" t="str">
            <v>32</v>
          </cell>
          <cell r="K33" t="str">
            <v>部長</v>
          </cell>
          <cell r="L33" t="str">
            <v>出向出向神原海洋開発</v>
          </cell>
          <cell r="M33" t="str">
            <v>B</v>
          </cell>
          <cell r="P33" t="str">
            <v>B</v>
          </cell>
          <cell r="Q33">
            <v>0</v>
          </cell>
        </row>
        <row r="34">
          <cell r="A34" t="str">
            <v>2001</v>
          </cell>
          <cell r="B34" t="str">
            <v>後期</v>
          </cell>
          <cell r="C34" t="str">
            <v>1187502</v>
          </cell>
          <cell r="D34" t="str">
            <v>道下　孝司</v>
          </cell>
          <cell r="E34" t="str">
            <v>03</v>
          </cell>
          <cell r="F34" t="str">
            <v xml:space="preserve">　（管理職・専門職群）</v>
          </cell>
          <cell r="G34" t="str">
            <v>13</v>
          </cell>
          <cell r="H34" t="str">
            <v>専門職</v>
          </cell>
          <cell r="I34" t="str">
            <v>06</v>
          </cell>
          <cell r="J34" t="str">
            <v>31</v>
          </cell>
          <cell r="K34" t="str">
            <v>主席（参与</v>
          </cell>
          <cell r="L34" t="str">
            <v>ドッママスター</v>
          </cell>
          <cell r="M34" t="str">
            <v>A</v>
          </cell>
          <cell r="N34">
            <v>76</v>
          </cell>
          <cell r="O34">
            <v>74</v>
          </cell>
          <cell r="P34" t="str">
            <v>A</v>
          </cell>
          <cell r="Q34">
            <v>74</v>
          </cell>
        </row>
        <row r="35">
          <cell r="A35" t="str">
            <v>2001</v>
          </cell>
          <cell r="B35" t="str">
            <v>後期</v>
          </cell>
          <cell r="C35" t="str">
            <v>1171069</v>
          </cell>
          <cell r="D35" t="str">
            <v xml:space="preserve">高原　仁　　　　　　</v>
          </cell>
          <cell r="E35" t="str">
            <v>04</v>
          </cell>
          <cell r="F35" t="str">
            <v xml:space="preserve">　（管理職・専門職群）</v>
          </cell>
          <cell r="G35" t="str">
            <v>11</v>
          </cell>
          <cell r="H35" t="str">
            <v>管理職</v>
          </cell>
          <cell r="I35" t="str">
            <v>06</v>
          </cell>
          <cell r="J35" t="str">
            <v>29</v>
          </cell>
          <cell r="K35" t="str">
            <v>次長</v>
          </cell>
          <cell r="L35" t="str">
            <v>出向出向ＴＨＩ</v>
          </cell>
          <cell r="M35" t="str">
            <v>A</v>
          </cell>
          <cell r="N35">
            <v>83</v>
          </cell>
          <cell r="O35">
            <v>84</v>
          </cell>
          <cell r="P35" t="str">
            <v>A</v>
          </cell>
          <cell r="Q35">
            <v>84</v>
          </cell>
        </row>
        <row r="36">
          <cell r="A36" t="str">
            <v>2001</v>
          </cell>
          <cell r="B36" t="str">
            <v>後期</v>
          </cell>
          <cell r="C36" t="str">
            <v>1173016</v>
          </cell>
          <cell r="D36" t="str">
            <v xml:space="preserve">寺岡　彰　　　　　　</v>
          </cell>
          <cell r="E36" t="str">
            <v>04</v>
          </cell>
          <cell r="F36" t="str">
            <v xml:space="preserve">　（管理職・専門職群）</v>
          </cell>
          <cell r="G36" t="str">
            <v>11</v>
          </cell>
          <cell r="H36" t="str">
            <v>管理職</v>
          </cell>
          <cell r="I36" t="str">
            <v>06</v>
          </cell>
          <cell r="J36" t="str">
            <v>29</v>
          </cell>
          <cell r="K36" t="str">
            <v>次長</v>
          </cell>
          <cell r="L36" t="str">
            <v>出向出向ＴＨＩ</v>
          </cell>
          <cell r="M36" t="str">
            <v>A</v>
          </cell>
          <cell r="N36">
            <v>77</v>
          </cell>
          <cell r="O36">
            <v>80</v>
          </cell>
          <cell r="P36" t="str">
            <v>A</v>
          </cell>
          <cell r="Q36">
            <v>80</v>
          </cell>
        </row>
        <row r="37">
          <cell r="A37" t="str">
            <v>2001</v>
          </cell>
          <cell r="B37" t="str">
            <v>後期</v>
          </cell>
          <cell r="C37" t="str">
            <v>1481505</v>
          </cell>
          <cell r="D37" t="str">
            <v>岡崎　年男</v>
          </cell>
          <cell r="E37" t="str">
            <v>01</v>
          </cell>
          <cell r="F37" t="str">
            <v xml:space="preserve">　（管理職・専門職群）</v>
          </cell>
          <cell r="G37" t="str">
            <v>11</v>
          </cell>
          <cell r="H37" t="str">
            <v>管理職</v>
          </cell>
          <cell r="I37" t="str">
            <v>06</v>
          </cell>
          <cell r="J37" t="str">
            <v>29</v>
          </cell>
          <cell r="K37" t="str">
            <v>次長</v>
          </cell>
          <cell r="L37" t="str">
            <v>調達部</v>
          </cell>
          <cell r="M37" t="str">
            <v>A</v>
          </cell>
          <cell r="N37">
            <v>69</v>
          </cell>
          <cell r="O37">
            <v>70</v>
          </cell>
          <cell r="P37" t="str">
            <v>A</v>
          </cell>
          <cell r="Q37">
            <v>70</v>
          </cell>
        </row>
        <row r="38">
          <cell r="A38" t="str">
            <v>2001</v>
          </cell>
          <cell r="B38" t="str">
            <v>後期</v>
          </cell>
          <cell r="C38" t="str">
            <v>1172505</v>
          </cell>
          <cell r="D38" t="str">
            <v>大木　邦彦</v>
          </cell>
          <cell r="E38" t="str">
            <v>03</v>
          </cell>
          <cell r="F38" t="str">
            <v xml:space="preserve">　（管理職・専門職群）</v>
          </cell>
          <cell r="G38" t="str">
            <v>11</v>
          </cell>
          <cell r="H38" t="str">
            <v>管理職</v>
          </cell>
          <cell r="I38" t="str">
            <v>06</v>
          </cell>
          <cell r="J38" t="str">
            <v>29</v>
          </cell>
          <cell r="K38" t="str">
            <v>次長</v>
          </cell>
          <cell r="L38" t="str">
            <v>修繕業務部</v>
          </cell>
          <cell r="M38" t="str">
            <v>B</v>
          </cell>
          <cell r="N38">
            <v>0</v>
          </cell>
          <cell r="O38">
            <v>65</v>
          </cell>
          <cell r="P38" t="str">
            <v>B</v>
          </cell>
          <cell r="Q38">
            <v>65</v>
          </cell>
        </row>
        <row r="39">
          <cell r="A39" t="str">
            <v>2001</v>
          </cell>
          <cell r="B39" t="str">
            <v>後期</v>
          </cell>
          <cell r="C39" t="str">
            <v>1173006</v>
          </cell>
          <cell r="D39" t="str">
            <v xml:space="preserve">田辺　貴道　　　　　</v>
          </cell>
          <cell r="E39" t="str">
            <v>02</v>
          </cell>
          <cell r="F39" t="str">
            <v xml:space="preserve">　（管理職・専門職群）</v>
          </cell>
          <cell r="G39" t="str">
            <v>11</v>
          </cell>
          <cell r="H39" t="str">
            <v>管理職</v>
          </cell>
          <cell r="I39" t="str">
            <v>06</v>
          </cell>
          <cell r="J39" t="str">
            <v>29</v>
          </cell>
          <cell r="K39" t="str">
            <v>次長</v>
          </cell>
          <cell r="L39" t="str">
            <v>船殻部</v>
          </cell>
          <cell r="M39" t="str">
            <v>B</v>
          </cell>
          <cell r="N39">
            <v>61</v>
          </cell>
          <cell r="O39">
            <v>61</v>
          </cell>
          <cell r="P39" t="str">
            <v>B</v>
          </cell>
          <cell r="Q39">
            <v>61</v>
          </cell>
        </row>
        <row r="40">
          <cell r="A40" t="str">
            <v>2001</v>
          </cell>
          <cell r="B40" t="str">
            <v>後期</v>
          </cell>
          <cell r="C40" t="str">
            <v>1175008</v>
          </cell>
          <cell r="D40" t="str">
            <v xml:space="preserve">津原　芳洋　　　　　</v>
          </cell>
          <cell r="E40" t="str">
            <v>01</v>
          </cell>
          <cell r="F40" t="str">
            <v xml:space="preserve">　（管理職・専門職群）</v>
          </cell>
          <cell r="G40" t="str">
            <v>11</v>
          </cell>
          <cell r="H40" t="str">
            <v>管理職</v>
          </cell>
          <cell r="I40" t="str">
            <v>06</v>
          </cell>
          <cell r="J40" t="str">
            <v>29</v>
          </cell>
          <cell r="K40" t="str">
            <v>次長</v>
          </cell>
          <cell r="L40" t="str">
            <v>財務部</v>
          </cell>
          <cell r="M40" t="str">
            <v>B</v>
          </cell>
          <cell r="N40">
            <v>62</v>
          </cell>
          <cell r="O40">
            <v>60</v>
          </cell>
          <cell r="P40" t="str">
            <v>B</v>
          </cell>
          <cell r="Q40">
            <v>60</v>
          </cell>
        </row>
        <row r="41">
          <cell r="A41" t="str">
            <v>2001</v>
          </cell>
          <cell r="B41" t="str">
            <v>後期</v>
          </cell>
          <cell r="C41" t="str">
            <v>1175013</v>
          </cell>
          <cell r="D41" t="str">
            <v xml:space="preserve">辻　信吉　　　　　　</v>
          </cell>
          <cell r="E41" t="str">
            <v>01</v>
          </cell>
          <cell r="F41" t="str">
            <v xml:space="preserve">　（管理職・専門職群）</v>
          </cell>
          <cell r="G41" t="str">
            <v>11</v>
          </cell>
          <cell r="H41" t="str">
            <v>管理職</v>
          </cell>
          <cell r="I41" t="str">
            <v>06</v>
          </cell>
          <cell r="J41" t="str">
            <v>29</v>
          </cell>
          <cell r="K41" t="str">
            <v>次長</v>
          </cell>
          <cell r="L41" t="str">
            <v>調達部</v>
          </cell>
          <cell r="M41" t="str">
            <v>B</v>
          </cell>
          <cell r="N41">
            <v>66</v>
          </cell>
          <cell r="O41">
            <v>65</v>
          </cell>
          <cell r="P41" t="str">
            <v>B</v>
          </cell>
          <cell r="Q41">
            <v>65</v>
          </cell>
        </row>
        <row r="42">
          <cell r="A42" t="str">
            <v>2001</v>
          </cell>
          <cell r="B42" t="str">
            <v>後期</v>
          </cell>
          <cell r="C42" t="str">
            <v>1175015</v>
          </cell>
          <cell r="D42" t="str">
            <v xml:space="preserve">坂本　正亘　　　　　</v>
          </cell>
          <cell r="E42" t="str">
            <v>02</v>
          </cell>
          <cell r="F42" t="str">
            <v xml:space="preserve">　（管理職・専門職群）</v>
          </cell>
          <cell r="G42" t="str">
            <v>11</v>
          </cell>
          <cell r="H42" t="str">
            <v>管理職</v>
          </cell>
          <cell r="I42" t="str">
            <v>06</v>
          </cell>
          <cell r="J42" t="str">
            <v>29</v>
          </cell>
          <cell r="K42" t="str">
            <v>次長</v>
          </cell>
          <cell r="L42" t="str">
            <v>艤装部</v>
          </cell>
          <cell r="M42" t="str">
            <v>B</v>
          </cell>
          <cell r="N42">
            <v>64</v>
          </cell>
          <cell r="O42">
            <v>66</v>
          </cell>
          <cell r="P42" t="str">
            <v>B</v>
          </cell>
          <cell r="Q42">
            <v>66</v>
          </cell>
        </row>
        <row r="43">
          <cell r="A43" t="str">
            <v>2001</v>
          </cell>
          <cell r="B43" t="str">
            <v>後期</v>
          </cell>
          <cell r="C43" t="str">
            <v>1177018</v>
          </cell>
          <cell r="D43" t="str">
            <v xml:space="preserve">黛　敏　　　　　　　</v>
          </cell>
          <cell r="E43" t="str">
            <v>02</v>
          </cell>
          <cell r="F43" t="str">
            <v xml:space="preserve">　（管理職・専門職群）</v>
          </cell>
          <cell r="G43" t="str">
            <v>11</v>
          </cell>
          <cell r="H43" t="str">
            <v>管理職</v>
          </cell>
          <cell r="I43" t="str">
            <v>06</v>
          </cell>
          <cell r="J43" t="str">
            <v>29</v>
          </cell>
          <cell r="K43" t="str">
            <v>次長</v>
          </cell>
          <cell r="L43" t="str">
            <v>艤装部</v>
          </cell>
          <cell r="M43" t="str">
            <v>B</v>
          </cell>
          <cell r="N43">
            <v>70</v>
          </cell>
          <cell r="O43">
            <v>68</v>
          </cell>
          <cell r="P43" t="str">
            <v>B</v>
          </cell>
          <cell r="Q43">
            <v>68</v>
          </cell>
        </row>
        <row r="44">
          <cell r="A44" t="str">
            <v>2001</v>
          </cell>
          <cell r="B44" t="str">
            <v>後期</v>
          </cell>
          <cell r="C44" t="str">
            <v>1180036</v>
          </cell>
          <cell r="D44" t="str">
            <v xml:space="preserve">川北　雅弘　　　　　</v>
          </cell>
          <cell r="E44" t="str">
            <v>02</v>
          </cell>
          <cell r="F44" t="str">
            <v xml:space="preserve">　（管理職・専門職群）</v>
          </cell>
          <cell r="G44" t="str">
            <v>11</v>
          </cell>
          <cell r="H44" t="str">
            <v>管理職</v>
          </cell>
          <cell r="I44" t="str">
            <v>06</v>
          </cell>
          <cell r="J44" t="str">
            <v>29</v>
          </cell>
          <cell r="K44" t="str">
            <v>次長</v>
          </cell>
          <cell r="L44" t="str">
            <v>艤装部</v>
          </cell>
          <cell r="M44" t="str">
            <v>B</v>
          </cell>
          <cell r="N44">
            <v>68</v>
          </cell>
          <cell r="O44">
            <v>64</v>
          </cell>
          <cell r="P44" t="str">
            <v>B</v>
          </cell>
          <cell r="Q44">
            <v>64</v>
          </cell>
        </row>
        <row r="45">
          <cell r="A45" t="str">
            <v>2001</v>
          </cell>
          <cell r="B45" t="str">
            <v>後期</v>
          </cell>
          <cell r="C45" t="str">
            <v>1472503</v>
          </cell>
          <cell r="D45" t="str">
            <v>渡部　和孝</v>
          </cell>
          <cell r="E45" t="str">
            <v>02</v>
          </cell>
          <cell r="F45" t="str">
            <v xml:space="preserve">　（管理職・専門職群）</v>
          </cell>
          <cell r="G45" t="str">
            <v>11</v>
          </cell>
          <cell r="H45" t="str">
            <v>管理職</v>
          </cell>
          <cell r="I45" t="str">
            <v>06</v>
          </cell>
          <cell r="J45" t="str">
            <v>29</v>
          </cell>
          <cell r="K45" t="str">
            <v>次長</v>
          </cell>
          <cell r="L45" t="str">
            <v>多度津・造船部</v>
          </cell>
          <cell r="M45" t="str">
            <v>B</v>
          </cell>
          <cell r="N45">
            <v>66</v>
          </cell>
          <cell r="O45">
            <v>64</v>
          </cell>
          <cell r="P45" t="str">
            <v>B</v>
          </cell>
          <cell r="Q45">
            <v>64</v>
          </cell>
        </row>
        <row r="46">
          <cell r="A46" t="str">
            <v>2001</v>
          </cell>
          <cell r="B46" t="str">
            <v>後期</v>
          </cell>
          <cell r="C46" t="str">
            <v>1468503</v>
          </cell>
          <cell r="D46" t="str">
            <v>平松　　忠</v>
          </cell>
          <cell r="E46" t="str">
            <v>02</v>
          </cell>
          <cell r="F46" t="str">
            <v xml:space="preserve">　（管理職・専門職群）</v>
          </cell>
          <cell r="G46" t="str">
            <v>11</v>
          </cell>
          <cell r="H46" t="str">
            <v>管理職</v>
          </cell>
          <cell r="I46" t="str">
            <v>06</v>
          </cell>
          <cell r="J46" t="str">
            <v>29</v>
          </cell>
          <cell r="K46" t="str">
            <v>次長</v>
          </cell>
          <cell r="L46" t="str">
            <v>多度津・工場支援室工場支援室</v>
          </cell>
          <cell r="M46" t="str">
            <v>B</v>
          </cell>
          <cell r="N46">
            <v>61</v>
          </cell>
          <cell r="O46">
            <v>67</v>
          </cell>
          <cell r="P46" t="str">
            <v>B-</v>
          </cell>
          <cell r="Q46">
            <v>67</v>
          </cell>
        </row>
        <row r="47">
          <cell r="A47" t="str">
            <v>2001</v>
          </cell>
          <cell r="B47" t="str">
            <v>後期</v>
          </cell>
          <cell r="C47" t="str">
            <v>1174017</v>
          </cell>
          <cell r="D47" t="str">
            <v xml:space="preserve">那須　正俊　　　　　</v>
          </cell>
          <cell r="E47" t="str">
            <v>04</v>
          </cell>
          <cell r="F47" t="str">
            <v xml:space="preserve">　（管理職・専門職群）</v>
          </cell>
          <cell r="G47" t="str">
            <v>11</v>
          </cell>
          <cell r="H47" t="str">
            <v>管理職</v>
          </cell>
          <cell r="I47" t="str">
            <v>06</v>
          </cell>
          <cell r="J47" t="str">
            <v>29</v>
          </cell>
          <cell r="K47" t="str">
            <v>次長</v>
          </cell>
          <cell r="L47" t="str">
            <v>出向出向ＴＨＩ</v>
          </cell>
          <cell r="M47" t="str">
            <v>B</v>
          </cell>
          <cell r="N47">
            <v>67</v>
          </cell>
          <cell r="O47">
            <v>68</v>
          </cell>
          <cell r="P47" t="str">
            <v>B+</v>
          </cell>
          <cell r="Q47">
            <v>68</v>
          </cell>
        </row>
        <row r="48">
          <cell r="A48" t="str">
            <v>2001</v>
          </cell>
          <cell r="B48" t="str">
            <v>後期</v>
          </cell>
          <cell r="C48" t="str">
            <v>1187011</v>
          </cell>
          <cell r="D48" t="str">
            <v xml:space="preserve">佐藤　直司　　　　　</v>
          </cell>
          <cell r="E48" t="str">
            <v>04</v>
          </cell>
          <cell r="F48" t="str">
            <v xml:space="preserve">　（管理職・専門職群）</v>
          </cell>
          <cell r="G48" t="str">
            <v>11</v>
          </cell>
          <cell r="H48" t="str">
            <v>管理職</v>
          </cell>
          <cell r="I48" t="str">
            <v>06</v>
          </cell>
          <cell r="J48" t="str">
            <v>29</v>
          </cell>
          <cell r="K48" t="str">
            <v>次長</v>
          </cell>
          <cell r="L48" t="str">
            <v>出向出向Ｋ＆Ａ</v>
          </cell>
          <cell r="M48" t="str">
            <v>B</v>
          </cell>
          <cell r="N48">
            <v>74</v>
          </cell>
          <cell r="O48">
            <v>70</v>
          </cell>
          <cell r="P48" t="str">
            <v>B+</v>
          </cell>
          <cell r="Q48">
            <v>70</v>
          </cell>
        </row>
        <row r="49">
          <cell r="A49" t="str">
            <v>2001</v>
          </cell>
          <cell r="B49" t="str">
            <v>後期</v>
          </cell>
          <cell r="C49" t="str">
            <v>1174515</v>
          </cell>
          <cell r="D49" t="str">
            <v>河田　章信</v>
          </cell>
          <cell r="E49" t="str">
            <v>02</v>
          </cell>
          <cell r="F49" t="str">
            <v xml:space="preserve">　（管理職・専門職群）</v>
          </cell>
          <cell r="G49" t="str">
            <v>11</v>
          </cell>
          <cell r="H49" t="str">
            <v>管理職</v>
          </cell>
          <cell r="I49" t="str">
            <v>06</v>
          </cell>
          <cell r="J49" t="str">
            <v>29</v>
          </cell>
          <cell r="K49" t="str">
            <v>次長</v>
          </cell>
          <cell r="L49" t="str">
            <v>艤装部</v>
          </cell>
          <cell r="M49" t="str">
            <v>B</v>
          </cell>
          <cell r="N49">
            <v>60</v>
          </cell>
          <cell r="O49">
            <v>68</v>
          </cell>
          <cell r="P49" t="str">
            <v>B+</v>
          </cell>
          <cell r="Q49">
            <v>68</v>
          </cell>
        </row>
        <row r="50">
          <cell r="A50" t="str">
            <v>2001</v>
          </cell>
          <cell r="B50" t="str">
            <v>後期</v>
          </cell>
          <cell r="C50" t="str">
            <v>1176018</v>
          </cell>
          <cell r="D50" t="str">
            <v xml:space="preserve">芝吹　喜由　　　　　</v>
          </cell>
          <cell r="E50" t="str">
            <v>02</v>
          </cell>
          <cell r="F50" t="str">
            <v xml:space="preserve">　（管理職・専門職群）</v>
          </cell>
          <cell r="G50" t="str">
            <v>11</v>
          </cell>
          <cell r="H50" t="str">
            <v>管理職</v>
          </cell>
          <cell r="I50" t="str">
            <v>06</v>
          </cell>
          <cell r="J50" t="str">
            <v>29</v>
          </cell>
          <cell r="K50" t="str">
            <v>次長</v>
          </cell>
          <cell r="L50" t="str">
            <v>常石工場・品質管理部</v>
          </cell>
          <cell r="M50" t="str">
            <v>A</v>
          </cell>
          <cell r="N50">
            <v>71</v>
          </cell>
          <cell r="O50">
            <v>68</v>
          </cell>
          <cell r="P50" t="str">
            <v>B+</v>
          </cell>
          <cell r="Q50">
            <v>68</v>
          </cell>
        </row>
        <row r="51">
          <cell r="A51" t="str">
            <v>2001</v>
          </cell>
          <cell r="B51" t="str">
            <v>後期</v>
          </cell>
          <cell r="C51" t="str">
            <v>1281536</v>
          </cell>
          <cell r="D51" t="str">
            <v>松本　一宏</v>
          </cell>
          <cell r="E51" t="str">
            <v>01</v>
          </cell>
          <cell r="F51" t="str">
            <v xml:space="preserve">　（管理職・専門職群）</v>
          </cell>
          <cell r="G51" t="str">
            <v>11</v>
          </cell>
          <cell r="H51" t="str">
            <v>管理職</v>
          </cell>
          <cell r="I51" t="str">
            <v>06</v>
          </cell>
          <cell r="J51" t="str">
            <v>29</v>
          </cell>
          <cell r="K51" t="str">
            <v>次長</v>
          </cell>
          <cell r="L51" t="str">
            <v>営業本部</v>
          </cell>
          <cell r="M51" t="str">
            <v>B</v>
          </cell>
          <cell r="N51">
            <v>0</v>
          </cell>
          <cell r="O51">
            <v>66</v>
          </cell>
          <cell r="P51" t="str">
            <v>B+</v>
          </cell>
          <cell r="Q51">
            <v>66</v>
          </cell>
        </row>
        <row r="52">
          <cell r="A52" t="str">
            <v>2001</v>
          </cell>
          <cell r="B52" t="str">
            <v>後期</v>
          </cell>
          <cell r="C52" t="str">
            <v>1465502</v>
          </cell>
          <cell r="D52" t="str">
            <v>越智　博好</v>
          </cell>
          <cell r="E52" t="str">
            <v>01</v>
          </cell>
          <cell r="F52" t="str">
            <v xml:space="preserve">　（管理職・専門職群）</v>
          </cell>
          <cell r="G52" t="str">
            <v>11</v>
          </cell>
          <cell r="H52" t="str">
            <v>管理職</v>
          </cell>
          <cell r="I52" t="str">
            <v>06</v>
          </cell>
          <cell r="J52" t="str">
            <v>29</v>
          </cell>
          <cell r="K52" t="str">
            <v>次長</v>
          </cell>
          <cell r="L52" t="str">
            <v>調達部</v>
          </cell>
          <cell r="M52" t="str">
            <v>B</v>
          </cell>
          <cell r="N52">
            <v>66</v>
          </cell>
          <cell r="O52">
            <v>68</v>
          </cell>
          <cell r="P52" t="str">
            <v>B+</v>
          </cell>
          <cell r="Q52">
            <v>68</v>
          </cell>
        </row>
        <row r="53">
          <cell r="A53" t="str">
            <v>2001</v>
          </cell>
          <cell r="B53" t="str">
            <v>後期</v>
          </cell>
          <cell r="C53" t="str">
            <v>1473008</v>
          </cell>
          <cell r="D53" t="str">
            <v>亀尾　彰</v>
          </cell>
          <cell r="E53" t="str">
            <v>02</v>
          </cell>
          <cell r="F53" t="str">
            <v xml:space="preserve">　（管理職・専門職群）</v>
          </cell>
          <cell r="G53" t="str">
            <v>11</v>
          </cell>
          <cell r="H53" t="str">
            <v>管理職</v>
          </cell>
          <cell r="I53" t="str">
            <v>06</v>
          </cell>
          <cell r="J53" t="str">
            <v>29</v>
          </cell>
          <cell r="K53" t="str">
            <v>次長</v>
          </cell>
          <cell r="L53" t="str">
            <v>多度津工場・品質管理</v>
          </cell>
          <cell r="M53" t="str">
            <v>B</v>
          </cell>
          <cell r="N53">
            <v>69</v>
          </cell>
          <cell r="O53">
            <v>62</v>
          </cell>
          <cell r="P53" t="str">
            <v>B+</v>
          </cell>
          <cell r="Q53">
            <v>62</v>
          </cell>
        </row>
        <row r="54">
          <cell r="A54" t="str">
            <v>2001</v>
          </cell>
          <cell r="B54" t="str">
            <v>後期</v>
          </cell>
          <cell r="C54" t="str">
            <v>1475512</v>
          </cell>
          <cell r="D54" t="str">
            <v>廣田　賢二</v>
          </cell>
          <cell r="E54" t="str">
            <v>01</v>
          </cell>
          <cell r="F54" t="str">
            <v xml:space="preserve">　（管理職・専門職群）</v>
          </cell>
          <cell r="G54" t="str">
            <v>11</v>
          </cell>
          <cell r="H54" t="str">
            <v>管理職</v>
          </cell>
          <cell r="I54" t="str">
            <v>06</v>
          </cell>
          <cell r="J54" t="str">
            <v>29</v>
          </cell>
          <cell r="K54" t="str">
            <v>次長</v>
          </cell>
          <cell r="L54" t="str">
            <v>総務部</v>
          </cell>
          <cell r="M54" t="str">
            <v>B</v>
          </cell>
          <cell r="N54">
            <v>70</v>
          </cell>
          <cell r="O54">
            <v>67</v>
          </cell>
          <cell r="P54" t="str">
            <v>B+</v>
          </cell>
          <cell r="Q54">
            <v>67</v>
          </cell>
        </row>
        <row r="55">
          <cell r="A55" t="str">
            <v>2001</v>
          </cell>
          <cell r="B55" t="str">
            <v>後期</v>
          </cell>
          <cell r="C55" t="str">
            <v>1173021</v>
          </cell>
          <cell r="D55" t="str">
            <v xml:space="preserve">佐藤　芳典　　　　　</v>
          </cell>
          <cell r="E55" t="str">
            <v>01</v>
          </cell>
          <cell r="F55" t="str">
            <v xml:space="preserve">　（管理職・専門職群）</v>
          </cell>
          <cell r="G55" t="str">
            <v>11</v>
          </cell>
          <cell r="H55" t="str">
            <v>管理職</v>
          </cell>
          <cell r="I55" t="str">
            <v>06</v>
          </cell>
          <cell r="J55" t="str">
            <v>29</v>
          </cell>
          <cell r="K55" t="str">
            <v>次長</v>
          </cell>
          <cell r="L55" t="str">
            <v>ＣＳＳ開発室</v>
          </cell>
          <cell r="M55" t="str">
            <v>B</v>
          </cell>
          <cell r="N55">
            <v>58</v>
          </cell>
          <cell r="O55">
            <v>68</v>
          </cell>
          <cell r="P55" t="str">
            <v>B+</v>
          </cell>
          <cell r="Q55">
            <v>68</v>
          </cell>
        </row>
        <row r="56">
          <cell r="A56" t="str">
            <v>2001</v>
          </cell>
          <cell r="B56" t="str">
            <v>後期</v>
          </cell>
          <cell r="C56" t="str">
            <v>1182003</v>
          </cell>
          <cell r="D56" t="str">
            <v xml:space="preserve">梶原　祐爾　　　　　</v>
          </cell>
          <cell r="E56" t="str">
            <v>01</v>
          </cell>
          <cell r="F56" t="str">
            <v xml:space="preserve">　（管理職・専門職群）</v>
          </cell>
          <cell r="G56" t="str">
            <v>11</v>
          </cell>
          <cell r="H56" t="str">
            <v>管理職</v>
          </cell>
          <cell r="I56" t="str">
            <v>06</v>
          </cell>
          <cell r="J56" t="str">
            <v>29</v>
          </cell>
          <cell r="K56" t="str">
            <v>次長</v>
          </cell>
          <cell r="L56" t="str">
            <v>情報戦略室</v>
          </cell>
          <cell r="M56" t="str">
            <v>B</v>
          </cell>
          <cell r="N56">
            <v>62</v>
          </cell>
          <cell r="O56">
            <v>68</v>
          </cell>
          <cell r="P56" t="str">
            <v>B+</v>
          </cell>
          <cell r="Q56">
            <v>68</v>
          </cell>
        </row>
        <row r="57">
          <cell r="A57" t="str">
            <v>2001</v>
          </cell>
          <cell r="B57" t="str">
            <v>後期</v>
          </cell>
          <cell r="C57" t="str">
            <v>1177020</v>
          </cell>
          <cell r="D57" t="str">
            <v xml:space="preserve">岡田　信司　　　　　</v>
          </cell>
          <cell r="E57" t="str">
            <v>02</v>
          </cell>
          <cell r="F57" t="str">
            <v xml:space="preserve">　（管理職・専門職群）</v>
          </cell>
          <cell r="G57" t="str">
            <v>11</v>
          </cell>
          <cell r="H57" t="str">
            <v>管理職</v>
          </cell>
          <cell r="I57" t="str">
            <v>06</v>
          </cell>
          <cell r="J57" t="str">
            <v>27</v>
          </cell>
          <cell r="K57" t="str">
            <v>課長</v>
          </cell>
          <cell r="L57" t="str">
            <v>常石工場・品質管理部品質管理グループ・常</v>
          </cell>
          <cell r="M57" t="str">
            <v>B</v>
          </cell>
          <cell r="N57">
            <v>66</v>
          </cell>
          <cell r="O57">
            <v>69</v>
          </cell>
          <cell r="P57" t="str">
            <v>A</v>
          </cell>
          <cell r="Q57">
            <v>69</v>
          </cell>
        </row>
        <row r="58">
          <cell r="A58" t="str">
            <v>2001</v>
          </cell>
          <cell r="B58" t="str">
            <v>後期</v>
          </cell>
          <cell r="C58" t="str">
            <v>1198201</v>
          </cell>
          <cell r="D58" t="str">
            <v xml:space="preserve">占部　誠　　　　　　</v>
          </cell>
          <cell r="E58" t="str">
            <v>01</v>
          </cell>
          <cell r="F58" t="str">
            <v xml:space="preserve">　（管理職・専門職群）</v>
          </cell>
          <cell r="G58" t="str">
            <v>11</v>
          </cell>
          <cell r="H58" t="str">
            <v>管理職</v>
          </cell>
          <cell r="I58" t="str">
            <v>06</v>
          </cell>
          <cell r="J58" t="str">
            <v>27</v>
          </cell>
          <cell r="K58" t="str">
            <v>課長</v>
          </cell>
          <cell r="L58" t="str">
            <v>第一営業部第一営業グループ</v>
          </cell>
          <cell r="M58" t="str">
            <v>B</v>
          </cell>
          <cell r="N58">
            <v>70</v>
          </cell>
          <cell r="O58">
            <v>71</v>
          </cell>
          <cell r="P58" t="str">
            <v>A</v>
          </cell>
          <cell r="Q58">
            <v>71</v>
          </cell>
        </row>
        <row r="59">
          <cell r="A59" t="str">
            <v>2001</v>
          </cell>
          <cell r="B59" t="str">
            <v>後期</v>
          </cell>
          <cell r="C59" t="str">
            <v>1473035</v>
          </cell>
          <cell r="D59" t="str">
            <v xml:space="preserve">寺岡　幸治　　　　　</v>
          </cell>
          <cell r="E59" t="str">
            <v>02</v>
          </cell>
          <cell r="F59" t="str">
            <v xml:space="preserve">　（管理職・専門職群）</v>
          </cell>
          <cell r="G59" t="str">
            <v>11</v>
          </cell>
          <cell r="H59" t="str">
            <v>管理職</v>
          </cell>
          <cell r="I59" t="str">
            <v>06</v>
          </cell>
          <cell r="J59" t="str">
            <v>27</v>
          </cell>
          <cell r="K59" t="str">
            <v>課長</v>
          </cell>
          <cell r="L59" t="str">
            <v>多度津・造船部工作グループ・多度津</v>
          </cell>
          <cell r="M59" t="str">
            <v>B</v>
          </cell>
          <cell r="N59">
            <v>67</v>
          </cell>
          <cell r="O59">
            <v>73</v>
          </cell>
          <cell r="P59" t="str">
            <v>A</v>
          </cell>
          <cell r="Q59">
            <v>73</v>
          </cell>
        </row>
        <row r="60">
          <cell r="A60" t="str">
            <v>2001</v>
          </cell>
          <cell r="B60" t="str">
            <v>後期</v>
          </cell>
          <cell r="C60" t="str">
            <v>1102006</v>
          </cell>
          <cell r="D60" t="str">
            <v>近藤　恒一</v>
          </cell>
          <cell r="E60" t="str">
            <v>01</v>
          </cell>
          <cell r="F60" t="str">
            <v xml:space="preserve">　（管理職・専門職群）</v>
          </cell>
          <cell r="G60" t="str">
            <v>11</v>
          </cell>
          <cell r="H60" t="str">
            <v>管理職</v>
          </cell>
          <cell r="I60" t="str">
            <v>06</v>
          </cell>
          <cell r="J60" t="str">
            <v>27</v>
          </cell>
          <cell r="K60" t="str">
            <v>課長</v>
          </cell>
          <cell r="L60" t="str">
            <v>財務部</v>
          </cell>
          <cell r="M60" t="str">
            <v>B</v>
          </cell>
          <cell r="N60">
            <v>0</v>
          </cell>
          <cell r="O60">
            <v>60</v>
          </cell>
          <cell r="P60" t="str">
            <v>B</v>
          </cell>
          <cell r="Q60">
            <v>60</v>
          </cell>
        </row>
        <row r="61">
          <cell r="A61" t="str">
            <v>2001</v>
          </cell>
          <cell r="B61" t="str">
            <v>後期</v>
          </cell>
          <cell r="C61" t="str">
            <v>1102007</v>
          </cell>
          <cell r="D61" t="str">
            <v>大橋　武比古</v>
          </cell>
          <cell r="E61" t="str">
            <v>01</v>
          </cell>
          <cell r="F61" t="str">
            <v xml:space="preserve">　（管理職・専門職群）</v>
          </cell>
          <cell r="G61" t="str">
            <v>11</v>
          </cell>
          <cell r="H61" t="str">
            <v>管理職</v>
          </cell>
          <cell r="I61" t="str">
            <v>06</v>
          </cell>
          <cell r="J61" t="str">
            <v>27</v>
          </cell>
          <cell r="K61" t="str">
            <v>課長</v>
          </cell>
          <cell r="L61" t="str">
            <v>人材活用プロジェクト</v>
          </cell>
          <cell r="M61" t="str">
            <v>B</v>
          </cell>
          <cell r="N61">
            <v>0</v>
          </cell>
          <cell r="O61">
            <v>64</v>
          </cell>
          <cell r="P61" t="str">
            <v>B</v>
          </cell>
          <cell r="Q61">
            <v>64</v>
          </cell>
        </row>
        <row r="62">
          <cell r="A62" t="str">
            <v>2001</v>
          </cell>
          <cell r="B62" t="str">
            <v>後期</v>
          </cell>
          <cell r="C62" t="str">
            <v>1166501</v>
          </cell>
          <cell r="D62" t="str">
            <v>白岡　正輝</v>
          </cell>
          <cell r="E62" t="str">
            <v>02</v>
          </cell>
          <cell r="F62" t="str">
            <v xml:space="preserve">　（管理職・専門職群）</v>
          </cell>
          <cell r="G62" t="str">
            <v>11</v>
          </cell>
          <cell r="H62" t="str">
            <v>管理職</v>
          </cell>
          <cell r="I62" t="str">
            <v>06</v>
          </cell>
          <cell r="J62" t="str">
            <v>27</v>
          </cell>
          <cell r="K62" t="str">
            <v>課長</v>
          </cell>
          <cell r="L62" t="str">
            <v>船殻部船殻設計グループ</v>
          </cell>
          <cell r="M62" t="str">
            <v>B</v>
          </cell>
          <cell r="N62">
            <v>62</v>
          </cell>
          <cell r="O62">
            <v>60</v>
          </cell>
          <cell r="P62" t="str">
            <v>B</v>
          </cell>
          <cell r="Q62">
            <v>60</v>
          </cell>
        </row>
        <row r="63">
          <cell r="A63" t="str">
            <v>2001</v>
          </cell>
          <cell r="B63" t="str">
            <v>後期</v>
          </cell>
          <cell r="C63" t="str">
            <v>1168018</v>
          </cell>
          <cell r="D63" t="str">
            <v xml:space="preserve">藤本　邦明　　　　　</v>
          </cell>
          <cell r="E63" t="str">
            <v>03</v>
          </cell>
          <cell r="F63" t="str">
            <v xml:space="preserve">　（管理職・専門職群）</v>
          </cell>
          <cell r="G63" t="str">
            <v>11</v>
          </cell>
          <cell r="H63" t="str">
            <v>管理職</v>
          </cell>
          <cell r="I63" t="str">
            <v>06</v>
          </cell>
          <cell r="J63" t="str">
            <v>27</v>
          </cell>
          <cell r="K63" t="str">
            <v>課長</v>
          </cell>
          <cell r="L63" t="str">
            <v>修繕工作部修繕塗装課</v>
          </cell>
          <cell r="M63" t="str">
            <v>B</v>
          </cell>
          <cell r="N63">
            <v>69</v>
          </cell>
          <cell r="O63">
            <v>62</v>
          </cell>
          <cell r="P63" t="str">
            <v>B</v>
          </cell>
          <cell r="Q63">
            <v>62</v>
          </cell>
        </row>
        <row r="64">
          <cell r="A64" t="str">
            <v>2001</v>
          </cell>
          <cell r="B64" t="str">
            <v>後期</v>
          </cell>
          <cell r="C64" t="str">
            <v>1173015</v>
          </cell>
          <cell r="D64" t="str">
            <v xml:space="preserve">宮　堅治　　　　　　</v>
          </cell>
          <cell r="E64" t="str">
            <v>02</v>
          </cell>
          <cell r="F64" t="str">
            <v xml:space="preserve">　（管理職・専門職群）</v>
          </cell>
          <cell r="G64" t="str">
            <v>11</v>
          </cell>
          <cell r="H64" t="str">
            <v>管理職</v>
          </cell>
          <cell r="I64" t="str">
            <v>06</v>
          </cell>
          <cell r="J64" t="str">
            <v>27</v>
          </cell>
          <cell r="K64" t="str">
            <v>課長</v>
          </cell>
          <cell r="L64" t="str">
            <v>常石工場・品質管理部検査グルーブ・常石</v>
          </cell>
          <cell r="M64" t="str">
            <v>B</v>
          </cell>
          <cell r="N64">
            <v>63</v>
          </cell>
          <cell r="O64">
            <v>64</v>
          </cell>
          <cell r="P64" t="str">
            <v>B</v>
          </cell>
          <cell r="Q64">
            <v>64</v>
          </cell>
        </row>
        <row r="65">
          <cell r="A65" t="str">
            <v>2001</v>
          </cell>
          <cell r="B65" t="str">
            <v>後期</v>
          </cell>
          <cell r="C65" t="str">
            <v>1173020</v>
          </cell>
          <cell r="D65" t="str">
            <v xml:space="preserve">尾崎　誠　　　　　　</v>
          </cell>
          <cell r="E65" t="str">
            <v>01</v>
          </cell>
          <cell r="F65" t="str">
            <v xml:space="preserve">　（管理職・専門職群）</v>
          </cell>
          <cell r="G65" t="str">
            <v>11</v>
          </cell>
          <cell r="H65" t="str">
            <v>管理職</v>
          </cell>
          <cell r="I65" t="str">
            <v>06</v>
          </cell>
          <cell r="J65" t="str">
            <v>27</v>
          </cell>
          <cell r="K65" t="str">
            <v>課長</v>
          </cell>
          <cell r="L65" t="str">
            <v>調達部調達管理グループ・常</v>
          </cell>
          <cell r="M65" t="str">
            <v>B</v>
          </cell>
          <cell r="N65">
            <v>65</v>
          </cell>
          <cell r="O65">
            <v>64</v>
          </cell>
          <cell r="P65" t="str">
            <v>B</v>
          </cell>
          <cell r="Q65">
            <v>64</v>
          </cell>
        </row>
        <row r="66">
          <cell r="A66" t="str">
            <v>2001</v>
          </cell>
          <cell r="B66" t="str">
            <v>後期</v>
          </cell>
          <cell r="C66" t="str">
            <v>1173502</v>
          </cell>
          <cell r="D66" t="str">
            <v>深井　満</v>
          </cell>
          <cell r="E66" t="str">
            <v>02</v>
          </cell>
          <cell r="F66" t="str">
            <v xml:space="preserve">　（管理職・専門職群）</v>
          </cell>
          <cell r="G66" t="str">
            <v>11</v>
          </cell>
          <cell r="H66" t="str">
            <v>管理職</v>
          </cell>
          <cell r="I66" t="str">
            <v>06</v>
          </cell>
          <cell r="J66" t="str">
            <v>27</v>
          </cell>
          <cell r="K66" t="str">
            <v>課長</v>
          </cell>
          <cell r="L66" t="str">
            <v>常石工場・品質管理部検査グルーブ・常石</v>
          </cell>
          <cell r="M66" t="str">
            <v>B</v>
          </cell>
          <cell r="N66">
            <v>63</v>
          </cell>
          <cell r="O66">
            <v>64</v>
          </cell>
          <cell r="P66" t="str">
            <v>B</v>
          </cell>
          <cell r="Q66">
            <v>64</v>
          </cell>
        </row>
        <row r="67">
          <cell r="A67" t="str">
            <v>2001</v>
          </cell>
          <cell r="B67" t="str">
            <v>後期</v>
          </cell>
          <cell r="C67" t="str">
            <v>1174011</v>
          </cell>
          <cell r="D67" t="str">
            <v xml:space="preserve">井上　守正　　　　　</v>
          </cell>
          <cell r="E67" t="str">
            <v>02</v>
          </cell>
          <cell r="F67" t="str">
            <v xml:space="preserve">　（管理職・専門職群）</v>
          </cell>
          <cell r="G67" t="str">
            <v>11</v>
          </cell>
          <cell r="H67" t="str">
            <v>管理職</v>
          </cell>
          <cell r="I67" t="str">
            <v>06</v>
          </cell>
          <cell r="J67" t="str">
            <v>27</v>
          </cell>
          <cell r="K67" t="str">
            <v>課長</v>
          </cell>
          <cell r="L67" t="str">
            <v>基本設計部機電計画グループ</v>
          </cell>
          <cell r="M67" t="str">
            <v>B</v>
          </cell>
          <cell r="N67">
            <v>68</v>
          </cell>
          <cell r="O67">
            <v>65</v>
          </cell>
          <cell r="P67" t="str">
            <v>B</v>
          </cell>
          <cell r="Q67">
            <v>65</v>
          </cell>
        </row>
        <row r="68">
          <cell r="A68" t="str">
            <v>2001</v>
          </cell>
          <cell r="B68" t="str">
            <v>後期</v>
          </cell>
          <cell r="C68" t="str">
            <v>1174022</v>
          </cell>
          <cell r="D68" t="str">
            <v xml:space="preserve">奥田　和彦　　　　　</v>
          </cell>
          <cell r="E68" t="str">
            <v>02</v>
          </cell>
          <cell r="F68" t="str">
            <v xml:space="preserve">　（管理職・専門職群）</v>
          </cell>
          <cell r="G68" t="str">
            <v>11</v>
          </cell>
          <cell r="H68" t="str">
            <v>管理職</v>
          </cell>
          <cell r="I68" t="str">
            <v>06</v>
          </cell>
          <cell r="J68" t="str">
            <v>27</v>
          </cell>
          <cell r="K68" t="str">
            <v>課長</v>
          </cell>
          <cell r="L68" t="str">
            <v>常石工場・品質管理部品質管理グループ・常</v>
          </cell>
          <cell r="M68" t="str">
            <v>B</v>
          </cell>
          <cell r="N68">
            <v>58</v>
          </cell>
          <cell r="O68">
            <v>62</v>
          </cell>
          <cell r="P68" t="str">
            <v>B</v>
          </cell>
          <cell r="Q68">
            <v>62</v>
          </cell>
        </row>
        <row r="69">
          <cell r="A69" t="str">
            <v>2001</v>
          </cell>
          <cell r="B69" t="str">
            <v>後期</v>
          </cell>
          <cell r="C69" t="str">
            <v>1175014</v>
          </cell>
          <cell r="D69" t="str">
            <v xml:space="preserve">山本　勝　　　　　　</v>
          </cell>
          <cell r="E69" t="str">
            <v>02</v>
          </cell>
          <cell r="F69" t="str">
            <v xml:space="preserve">　（管理職・専門職群）</v>
          </cell>
          <cell r="G69" t="str">
            <v>11</v>
          </cell>
          <cell r="H69" t="str">
            <v>管理職</v>
          </cell>
          <cell r="I69" t="str">
            <v>06</v>
          </cell>
          <cell r="J69" t="str">
            <v>27</v>
          </cell>
          <cell r="K69" t="str">
            <v>課長</v>
          </cell>
          <cell r="L69" t="str">
            <v>艤装部艤装計画グループ</v>
          </cell>
          <cell r="M69" t="str">
            <v>B</v>
          </cell>
          <cell r="N69">
            <v>63</v>
          </cell>
          <cell r="O69">
            <v>61</v>
          </cell>
          <cell r="P69" t="str">
            <v>B</v>
          </cell>
          <cell r="Q69">
            <v>61</v>
          </cell>
        </row>
        <row r="70">
          <cell r="A70" t="str">
            <v>2001</v>
          </cell>
          <cell r="B70" t="str">
            <v>後期</v>
          </cell>
          <cell r="C70" t="str">
            <v>1175020</v>
          </cell>
          <cell r="D70" t="str">
            <v xml:space="preserve">相川　元男　　　　　</v>
          </cell>
          <cell r="E70" t="str">
            <v>01</v>
          </cell>
          <cell r="F70" t="str">
            <v xml:space="preserve">　（管理職・専門職群）</v>
          </cell>
          <cell r="G70" t="str">
            <v>11</v>
          </cell>
          <cell r="H70" t="str">
            <v>管理職</v>
          </cell>
          <cell r="I70" t="str">
            <v>06</v>
          </cell>
          <cell r="J70" t="str">
            <v>27</v>
          </cell>
          <cell r="K70" t="str">
            <v>課長</v>
          </cell>
          <cell r="L70" t="str">
            <v>グループ管理室</v>
          </cell>
          <cell r="M70" t="str">
            <v>B</v>
          </cell>
          <cell r="N70">
            <v>63</v>
          </cell>
          <cell r="O70">
            <v>63</v>
          </cell>
          <cell r="P70" t="str">
            <v>B</v>
          </cell>
          <cell r="Q70">
            <v>63</v>
          </cell>
        </row>
        <row r="71">
          <cell r="A71" t="str">
            <v>2001</v>
          </cell>
          <cell r="B71" t="str">
            <v>後期</v>
          </cell>
          <cell r="C71" t="str">
            <v>1176008</v>
          </cell>
          <cell r="D71" t="str">
            <v xml:space="preserve">細井　豊　　　　　　</v>
          </cell>
          <cell r="E71" t="str">
            <v>01</v>
          </cell>
          <cell r="F71" t="str">
            <v xml:space="preserve">　（管理職・専門職群）</v>
          </cell>
          <cell r="G71" t="str">
            <v>11</v>
          </cell>
          <cell r="H71" t="str">
            <v>管理職</v>
          </cell>
          <cell r="I71" t="str">
            <v>06</v>
          </cell>
          <cell r="J71" t="str">
            <v>27</v>
          </cell>
          <cell r="K71" t="str">
            <v>課長</v>
          </cell>
          <cell r="L71" t="str">
            <v>調達部購買グループ</v>
          </cell>
          <cell r="M71" t="str">
            <v>B</v>
          </cell>
          <cell r="N71">
            <v>62</v>
          </cell>
          <cell r="O71">
            <v>60</v>
          </cell>
          <cell r="P71" t="str">
            <v>B</v>
          </cell>
          <cell r="Q71">
            <v>60</v>
          </cell>
        </row>
        <row r="72">
          <cell r="A72" t="str">
            <v>2001</v>
          </cell>
          <cell r="B72" t="str">
            <v>後期</v>
          </cell>
          <cell r="C72" t="str">
            <v>1176019</v>
          </cell>
          <cell r="D72" t="str">
            <v xml:space="preserve">応和　淳夫　　　　　</v>
          </cell>
          <cell r="E72" t="str">
            <v>02</v>
          </cell>
          <cell r="F72" t="str">
            <v xml:space="preserve">　（管理職・専門職群）</v>
          </cell>
          <cell r="G72" t="str">
            <v>11</v>
          </cell>
          <cell r="H72" t="str">
            <v>管理職</v>
          </cell>
          <cell r="I72" t="str">
            <v>06</v>
          </cell>
          <cell r="J72" t="str">
            <v>27</v>
          </cell>
          <cell r="K72" t="str">
            <v>課長</v>
          </cell>
          <cell r="L72" t="str">
            <v>品質管理統括部カスタマーサービス</v>
          </cell>
          <cell r="M72" t="str">
            <v>B</v>
          </cell>
          <cell r="N72">
            <v>0</v>
          </cell>
          <cell r="O72">
            <v>56</v>
          </cell>
          <cell r="P72" t="str">
            <v>B</v>
          </cell>
          <cell r="Q72">
            <v>56</v>
          </cell>
        </row>
        <row r="73">
          <cell r="A73" t="str">
            <v>2001</v>
          </cell>
          <cell r="B73" t="str">
            <v>後期</v>
          </cell>
          <cell r="C73" t="str">
            <v>1177006</v>
          </cell>
          <cell r="D73" t="str">
            <v xml:space="preserve">石井　仙治　　　　　</v>
          </cell>
          <cell r="E73" t="str">
            <v>02</v>
          </cell>
          <cell r="F73" t="str">
            <v xml:space="preserve">　（管理職・専門職群）</v>
          </cell>
          <cell r="G73" t="str">
            <v>11</v>
          </cell>
          <cell r="H73" t="str">
            <v>管理職</v>
          </cell>
          <cell r="I73" t="str">
            <v>06</v>
          </cell>
          <cell r="J73" t="str">
            <v>27</v>
          </cell>
          <cell r="K73" t="str">
            <v>課長</v>
          </cell>
          <cell r="L73" t="str">
            <v>船殻部船殻計画グループ</v>
          </cell>
          <cell r="M73" t="str">
            <v>B</v>
          </cell>
          <cell r="N73">
            <v>60</v>
          </cell>
          <cell r="O73">
            <v>60</v>
          </cell>
          <cell r="P73" t="str">
            <v>B</v>
          </cell>
          <cell r="Q73">
            <v>60</v>
          </cell>
        </row>
        <row r="74">
          <cell r="A74" t="str">
            <v>2001</v>
          </cell>
          <cell r="B74" t="str">
            <v>後期</v>
          </cell>
          <cell r="C74" t="str">
            <v>1178017</v>
          </cell>
          <cell r="D74" t="str">
            <v xml:space="preserve">藤田　考太　　　　　</v>
          </cell>
          <cell r="E74" t="str">
            <v>02</v>
          </cell>
          <cell r="F74" t="str">
            <v xml:space="preserve">　（管理職・専門職群）</v>
          </cell>
          <cell r="G74" t="str">
            <v>11</v>
          </cell>
          <cell r="H74" t="str">
            <v>管理職</v>
          </cell>
          <cell r="I74" t="str">
            <v>06</v>
          </cell>
          <cell r="J74" t="str">
            <v>27</v>
          </cell>
          <cell r="K74" t="str">
            <v>課長</v>
          </cell>
          <cell r="L74" t="str">
            <v>船殻部船殻工作グループ</v>
          </cell>
          <cell r="M74" t="str">
            <v>B</v>
          </cell>
          <cell r="N74">
            <v>0</v>
          </cell>
          <cell r="O74">
            <v>59</v>
          </cell>
          <cell r="P74" t="str">
            <v>B</v>
          </cell>
          <cell r="Q74">
            <v>59</v>
          </cell>
        </row>
        <row r="75">
          <cell r="A75" t="str">
            <v>2001</v>
          </cell>
          <cell r="B75" t="str">
            <v>後期</v>
          </cell>
          <cell r="C75" t="str">
            <v>1180525</v>
          </cell>
          <cell r="D75" t="str">
            <v>横畠　康文</v>
          </cell>
          <cell r="E75" t="str">
            <v>02</v>
          </cell>
          <cell r="F75" t="str">
            <v xml:space="preserve">　（管理職・専門職群）</v>
          </cell>
          <cell r="G75" t="str">
            <v>11</v>
          </cell>
          <cell r="H75" t="str">
            <v>管理職</v>
          </cell>
          <cell r="I75" t="str">
            <v>06</v>
          </cell>
          <cell r="J75" t="str">
            <v>27</v>
          </cell>
          <cell r="K75" t="str">
            <v>課長</v>
          </cell>
          <cell r="L75" t="str">
            <v>船殻部船殻工作グループ</v>
          </cell>
          <cell r="M75" t="str">
            <v>B</v>
          </cell>
          <cell r="N75">
            <v>64</v>
          </cell>
          <cell r="O75">
            <v>61</v>
          </cell>
          <cell r="P75" t="str">
            <v>B</v>
          </cell>
          <cell r="Q75">
            <v>61</v>
          </cell>
        </row>
        <row r="76">
          <cell r="A76" t="str">
            <v>2001</v>
          </cell>
          <cell r="B76" t="str">
            <v>後期</v>
          </cell>
          <cell r="C76" t="str">
            <v>1181026</v>
          </cell>
          <cell r="D76" t="str">
            <v xml:space="preserve">倉本　明　　　　　　</v>
          </cell>
          <cell r="E76" t="str">
            <v>02</v>
          </cell>
          <cell r="F76" t="str">
            <v xml:space="preserve">　（管理職・専門職群）</v>
          </cell>
          <cell r="G76" t="str">
            <v>11</v>
          </cell>
          <cell r="H76" t="str">
            <v>管理職</v>
          </cell>
          <cell r="I76" t="str">
            <v>06</v>
          </cell>
          <cell r="J76" t="str">
            <v>27</v>
          </cell>
          <cell r="K76" t="str">
            <v>課長</v>
          </cell>
          <cell r="L76" t="str">
            <v>船殻部船殻設計グループ</v>
          </cell>
          <cell r="M76" t="str">
            <v>B</v>
          </cell>
          <cell r="N76">
            <v>60</v>
          </cell>
          <cell r="O76">
            <v>60</v>
          </cell>
          <cell r="P76" t="str">
            <v>B</v>
          </cell>
          <cell r="Q76">
            <v>60</v>
          </cell>
        </row>
        <row r="77">
          <cell r="A77" t="str">
            <v>2001</v>
          </cell>
          <cell r="B77" t="str">
            <v>後期</v>
          </cell>
          <cell r="C77" t="str">
            <v>1181508</v>
          </cell>
          <cell r="D77" t="str">
            <v>松井　泰夫</v>
          </cell>
          <cell r="E77" t="str">
            <v>01</v>
          </cell>
          <cell r="F77" t="str">
            <v xml:space="preserve">　（管理職・専門職群）</v>
          </cell>
          <cell r="G77" t="str">
            <v>11</v>
          </cell>
          <cell r="H77" t="str">
            <v>管理職</v>
          </cell>
          <cell r="I77" t="str">
            <v>06</v>
          </cell>
          <cell r="J77" t="str">
            <v>27</v>
          </cell>
          <cell r="K77" t="str">
            <v>課長</v>
          </cell>
          <cell r="L77" t="str">
            <v>財務部財務グループ</v>
          </cell>
          <cell r="M77" t="str">
            <v>B</v>
          </cell>
          <cell r="N77">
            <v>69.3</v>
          </cell>
          <cell r="O77">
            <v>63</v>
          </cell>
          <cell r="P77" t="str">
            <v>B</v>
          </cell>
          <cell r="Q77">
            <v>63</v>
          </cell>
        </row>
        <row r="78">
          <cell r="A78" t="str">
            <v>2001</v>
          </cell>
          <cell r="B78" t="str">
            <v>後期</v>
          </cell>
          <cell r="C78" t="str">
            <v>1183038</v>
          </cell>
          <cell r="D78" t="str">
            <v xml:space="preserve">大平　栄作　　　　　</v>
          </cell>
          <cell r="E78" t="str">
            <v>02</v>
          </cell>
          <cell r="F78" t="str">
            <v xml:space="preserve">　（管理職・専門職群）</v>
          </cell>
          <cell r="G78" t="str">
            <v>11</v>
          </cell>
          <cell r="H78" t="str">
            <v>管理職</v>
          </cell>
          <cell r="I78" t="str">
            <v>06</v>
          </cell>
          <cell r="J78" t="str">
            <v>27</v>
          </cell>
          <cell r="K78" t="str">
            <v>課長</v>
          </cell>
          <cell r="L78" t="str">
            <v>造船戦略室</v>
          </cell>
          <cell r="M78" t="str">
            <v>B</v>
          </cell>
          <cell r="N78">
            <v>0</v>
          </cell>
          <cell r="O78">
            <v>61</v>
          </cell>
          <cell r="P78" t="str">
            <v>B</v>
          </cell>
          <cell r="Q78">
            <v>61</v>
          </cell>
        </row>
        <row r="79">
          <cell r="A79" t="str">
            <v>2001</v>
          </cell>
          <cell r="B79" t="str">
            <v>後期</v>
          </cell>
          <cell r="C79" t="str">
            <v>1183041</v>
          </cell>
          <cell r="D79" t="str">
            <v xml:space="preserve">神原　三千夫　　　　</v>
          </cell>
          <cell r="E79" t="str">
            <v>03</v>
          </cell>
          <cell r="F79" t="str">
            <v xml:space="preserve">　（管理職・専門職群）</v>
          </cell>
          <cell r="G79" t="str">
            <v>11</v>
          </cell>
          <cell r="H79" t="str">
            <v>管理職</v>
          </cell>
          <cell r="I79" t="str">
            <v>06</v>
          </cell>
          <cell r="J79" t="str">
            <v>27</v>
          </cell>
          <cell r="K79" t="str">
            <v>課長</v>
          </cell>
          <cell r="L79" t="str">
            <v>修繕工作部修繕船体課</v>
          </cell>
          <cell r="M79" t="str">
            <v>B</v>
          </cell>
          <cell r="N79">
            <v>64.8</v>
          </cell>
          <cell r="O79">
            <v>60</v>
          </cell>
          <cell r="P79" t="str">
            <v>B</v>
          </cell>
          <cell r="Q79">
            <v>60</v>
          </cell>
        </row>
        <row r="80">
          <cell r="A80" t="str">
            <v>2001</v>
          </cell>
          <cell r="B80" t="str">
            <v>後期</v>
          </cell>
          <cell r="C80" t="str">
            <v>1183050</v>
          </cell>
          <cell r="D80" t="str">
            <v xml:space="preserve">神原　邦治　　　　　</v>
          </cell>
          <cell r="E80" t="str">
            <v>03</v>
          </cell>
          <cell r="F80" t="str">
            <v xml:space="preserve">　（管理職・専門職群）</v>
          </cell>
          <cell r="G80" t="str">
            <v>11</v>
          </cell>
          <cell r="H80" t="str">
            <v>管理職</v>
          </cell>
          <cell r="I80" t="str">
            <v>06</v>
          </cell>
          <cell r="J80" t="str">
            <v>27</v>
          </cell>
          <cell r="K80" t="str">
            <v>課長</v>
          </cell>
          <cell r="L80" t="str">
            <v>修繕工作部修繕機電課</v>
          </cell>
          <cell r="M80" t="str">
            <v>B</v>
          </cell>
          <cell r="N80">
            <v>67</v>
          </cell>
          <cell r="O80">
            <v>61</v>
          </cell>
          <cell r="P80" t="str">
            <v>B</v>
          </cell>
          <cell r="Q80">
            <v>61</v>
          </cell>
        </row>
        <row r="81">
          <cell r="A81" t="str">
            <v>2001</v>
          </cell>
          <cell r="B81" t="str">
            <v>後期</v>
          </cell>
          <cell r="C81" t="str">
            <v>1184027</v>
          </cell>
          <cell r="D81" t="str">
            <v xml:space="preserve">高田　芳成　　　　　</v>
          </cell>
          <cell r="E81" t="str">
            <v>01</v>
          </cell>
          <cell r="F81" t="str">
            <v xml:space="preserve">　（管理職・専門職群）</v>
          </cell>
          <cell r="G81" t="str">
            <v>11</v>
          </cell>
          <cell r="H81" t="str">
            <v>管理職</v>
          </cell>
          <cell r="I81" t="str">
            <v>06</v>
          </cell>
          <cell r="J81" t="str">
            <v>27</v>
          </cell>
          <cell r="K81" t="str">
            <v>課長</v>
          </cell>
          <cell r="L81" t="str">
            <v>総務部総務グループ・常石</v>
          </cell>
          <cell r="M81" t="str">
            <v>B</v>
          </cell>
          <cell r="N81">
            <v>66.900000000000006</v>
          </cell>
          <cell r="O81">
            <v>64</v>
          </cell>
          <cell r="P81" t="str">
            <v>B</v>
          </cell>
          <cell r="Q81">
            <v>64</v>
          </cell>
        </row>
        <row r="82">
          <cell r="A82" t="str">
            <v>2001</v>
          </cell>
          <cell r="B82" t="str">
            <v>後期</v>
          </cell>
          <cell r="C82" t="str">
            <v>1184059</v>
          </cell>
          <cell r="D82" t="str">
            <v xml:space="preserve">諏澤　宏　　　　　　</v>
          </cell>
          <cell r="E82" t="str">
            <v>02</v>
          </cell>
          <cell r="F82" t="str">
            <v xml:space="preserve">　（管理職・専門職群）</v>
          </cell>
          <cell r="G82" t="str">
            <v>11</v>
          </cell>
          <cell r="H82" t="str">
            <v>管理職</v>
          </cell>
          <cell r="I82" t="str">
            <v>06</v>
          </cell>
          <cell r="J82" t="str">
            <v>27</v>
          </cell>
          <cell r="K82" t="str">
            <v>課長</v>
          </cell>
          <cell r="L82" t="str">
            <v>見積室</v>
          </cell>
          <cell r="M82" t="str">
            <v>B</v>
          </cell>
          <cell r="N82">
            <v>64</v>
          </cell>
          <cell r="O82">
            <v>64</v>
          </cell>
          <cell r="P82" t="str">
            <v>B</v>
          </cell>
          <cell r="Q82">
            <v>64</v>
          </cell>
        </row>
        <row r="83">
          <cell r="A83" t="str">
            <v>2001</v>
          </cell>
          <cell r="B83" t="str">
            <v>後期</v>
          </cell>
          <cell r="C83" t="str">
            <v>1185024</v>
          </cell>
          <cell r="D83" t="str">
            <v xml:space="preserve">楠原　和彦　　　　　</v>
          </cell>
          <cell r="E83" t="str">
            <v>01</v>
          </cell>
          <cell r="F83" t="str">
            <v xml:space="preserve">　（管理職・専門職群）</v>
          </cell>
          <cell r="G83" t="str">
            <v>11</v>
          </cell>
          <cell r="H83" t="str">
            <v>管理職</v>
          </cell>
          <cell r="I83" t="str">
            <v>06</v>
          </cell>
          <cell r="J83" t="str">
            <v>27</v>
          </cell>
          <cell r="K83" t="str">
            <v>課長</v>
          </cell>
          <cell r="L83" t="str">
            <v>調達部購買グループ</v>
          </cell>
          <cell r="M83" t="str">
            <v>B</v>
          </cell>
          <cell r="N83">
            <v>69.8</v>
          </cell>
          <cell r="O83">
            <v>68</v>
          </cell>
          <cell r="P83" t="str">
            <v>B</v>
          </cell>
          <cell r="Q83">
            <v>68</v>
          </cell>
        </row>
        <row r="84">
          <cell r="A84" t="str">
            <v>2001</v>
          </cell>
          <cell r="B84" t="str">
            <v>後期</v>
          </cell>
          <cell r="C84" t="str">
            <v>1188027</v>
          </cell>
          <cell r="D84" t="str">
            <v xml:space="preserve">中崎　善行　　　　　</v>
          </cell>
          <cell r="E84" t="str">
            <v>02</v>
          </cell>
          <cell r="F84" t="str">
            <v xml:space="preserve">　（管理職・専門職群）</v>
          </cell>
          <cell r="G84" t="str">
            <v>11</v>
          </cell>
          <cell r="H84" t="str">
            <v>管理職</v>
          </cell>
          <cell r="I84" t="str">
            <v>06</v>
          </cell>
          <cell r="J84" t="str">
            <v>27</v>
          </cell>
          <cell r="K84" t="str">
            <v>課長</v>
          </cell>
          <cell r="L84" t="str">
            <v>艤装部艤装設計グループ</v>
          </cell>
          <cell r="M84" t="str">
            <v>B</v>
          </cell>
          <cell r="N84">
            <v>63.7</v>
          </cell>
          <cell r="O84">
            <v>60</v>
          </cell>
          <cell r="P84" t="str">
            <v>B</v>
          </cell>
          <cell r="Q84">
            <v>60</v>
          </cell>
        </row>
        <row r="85">
          <cell r="A85" t="str">
            <v>2001</v>
          </cell>
          <cell r="B85" t="str">
            <v>後期</v>
          </cell>
          <cell r="C85" t="str">
            <v>1191001</v>
          </cell>
          <cell r="D85" t="str">
            <v xml:space="preserve">戸田　誠司　　　　　</v>
          </cell>
          <cell r="E85" t="str">
            <v>02</v>
          </cell>
          <cell r="F85" t="str">
            <v xml:space="preserve">　（管理職・専門職群）</v>
          </cell>
          <cell r="G85" t="str">
            <v>11</v>
          </cell>
          <cell r="H85" t="str">
            <v>管理職</v>
          </cell>
          <cell r="I85" t="str">
            <v>06</v>
          </cell>
          <cell r="J85" t="str">
            <v>27</v>
          </cell>
          <cell r="K85" t="str">
            <v>課長</v>
          </cell>
          <cell r="L85" t="str">
            <v>艤装部艤装工作グループ</v>
          </cell>
          <cell r="M85" t="str">
            <v>B</v>
          </cell>
          <cell r="N85">
            <v>62</v>
          </cell>
          <cell r="O85">
            <v>60</v>
          </cell>
          <cell r="P85" t="str">
            <v>B</v>
          </cell>
          <cell r="Q85">
            <v>60</v>
          </cell>
        </row>
        <row r="86">
          <cell r="A86" t="str">
            <v>2001</v>
          </cell>
          <cell r="B86" t="str">
            <v>後期</v>
          </cell>
          <cell r="C86" t="str">
            <v>1191004</v>
          </cell>
          <cell r="D86" t="str">
            <v xml:space="preserve">延広　寿生　　　　　</v>
          </cell>
          <cell r="E86" t="str">
            <v>01</v>
          </cell>
          <cell r="F86" t="str">
            <v xml:space="preserve">　（管理職・専門職群）</v>
          </cell>
          <cell r="G86" t="str">
            <v>11</v>
          </cell>
          <cell r="H86" t="str">
            <v>管理職</v>
          </cell>
          <cell r="I86" t="str">
            <v>06</v>
          </cell>
          <cell r="J86" t="str">
            <v>27</v>
          </cell>
          <cell r="K86" t="str">
            <v>課長</v>
          </cell>
          <cell r="L86" t="str">
            <v>人事部人事グループ</v>
          </cell>
          <cell r="M86" t="str">
            <v>B</v>
          </cell>
          <cell r="N86">
            <v>65.099999999999994</v>
          </cell>
          <cell r="O86">
            <v>69</v>
          </cell>
          <cell r="P86" t="str">
            <v>B</v>
          </cell>
          <cell r="Q86">
            <v>69</v>
          </cell>
        </row>
        <row r="87">
          <cell r="A87" t="str">
            <v>2001</v>
          </cell>
          <cell r="B87" t="str">
            <v>後期</v>
          </cell>
          <cell r="C87" t="str">
            <v>1191023</v>
          </cell>
          <cell r="D87" t="str">
            <v xml:space="preserve">村上　佳史　　　　　</v>
          </cell>
          <cell r="E87" t="str">
            <v>01</v>
          </cell>
          <cell r="F87" t="str">
            <v xml:space="preserve">　（管理職・専門職群）</v>
          </cell>
          <cell r="G87" t="str">
            <v>11</v>
          </cell>
          <cell r="H87" t="str">
            <v>管理職</v>
          </cell>
          <cell r="I87" t="str">
            <v>06</v>
          </cell>
          <cell r="J87" t="str">
            <v>27</v>
          </cell>
          <cell r="K87" t="str">
            <v>課長</v>
          </cell>
          <cell r="L87" t="str">
            <v>財務部経理グループ</v>
          </cell>
          <cell r="M87" t="str">
            <v>B</v>
          </cell>
          <cell r="N87">
            <v>70.099999999999994</v>
          </cell>
          <cell r="O87">
            <v>68</v>
          </cell>
          <cell r="P87" t="str">
            <v>B</v>
          </cell>
          <cell r="Q87">
            <v>68</v>
          </cell>
        </row>
        <row r="88">
          <cell r="A88" t="str">
            <v>2001</v>
          </cell>
          <cell r="B88" t="str">
            <v>後期</v>
          </cell>
          <cell r="C88" t="str">
            <v>1191053</v>
          </cell>
          <cell r="D88" t="str">
            <v xml:space="preserve">佐藤　民典　　　　　</v>
          </cell>
          <cell r="E88" t="str">
            <v>01</v>
          </cell>
          <cell r="F88" t="str">
            <v xml:space="preserve">　（管理職・専門職群）</v>
          </cell>
          <cell r="G88" t="str">
            <v>11</v>
          </cell>
          <cell r="H88" t="str">
            <v>管理職</v>
          </cell>
          <cell r="I88" t="str">
            <v>06</v>
          </cell>
          <cell r="J88" t="str">
            <v>27</v>
          </cell>
          <cell r="K88" t="str">
            <v>課長</v>
          </cell>
          <cell r="L88" t="str">
            <v>人事部勤労グループ</v>
          </cell>
          <cell r="M88" t="str">
            <v>B</v>
          </cell>
          <cell r="N88">
            <v>70</v>
          </cell>
          <cell r="O88">
            <v>65</v>
          </cell>
          <cell r="P88" t="str">
            <v>B</v>
          </cell>
          <cell r="Q88">
            <v>65</v>
          </cell>
        </row>
        <row r="89">
          <cell r="A89" t="str">
            <v>2001</v>
          </cell>
          <cell r="B89" t="str">
            <v>後期</v>
          </cell>
          <cell r="C89" t="str">
            <v>1192045</v>
          </cell>
          <cell r="D89" t="str">
            <v xml:space="preserve">藤井　和彦　　　　　</v>
          </cell>
          <cell r="E89" t="str">
            <v>02</v>
          </cell>
          <cell r="F89" t="str">
            <v xml:space="preserve">　（管理職・専門職群）</v>
          </cell>
          <cell r="G89" t="str">
            <v>11</v>
          </cell>
          <cell r="H89" t="str">
            <v>管理職</v>
          </cell>
          <cell r="I89" t="str">
            <v>06</v>
          </cell>
          <cell r="J89" t="str">
            <v>27</v>
          </cell>
          <cell r="K89" t="str">
            <v>課長</v>
          </cell>
          <cell r="L89" t="str">
            <v>常石・工場支援室</v>
          </cell>
          <cell r="M89" t="str">
            <v>B</v>
          </cell>
          <cell r="N89">
            <v>66.599999999999994</v>
          </cell>
          <cell r="O89">
            <v>63</v>
          </cell>
          <cell r="P89" t="str">
            <v>B</v>
          </cell>
          <cell r="Q89">
            <v>63</v>
          </cell>
        </row>
        <row r="90">
          <cell r="A90" t="str">
            <v>2001</v>
          </cell>
          <cell r="B90" t="str">
            <v>後期</v>
          </cell>
          <cell r="C90" t="str">
            <v>1194037</v>
          </cell>
          <cell r="D90" t="str">
            <v xml:space="preserve">岡野　賢舟　　　　　</v>
          </cell>
          <cell r="E90" t="str">
            <v>01</v>
          </cell>
          <cell r="F90" t="str">
            <v xml:space="preserve">　（管理職・専門職群）</v>
          </cell>
          <cell r="G90" t="str">
            <v>11</v>
          </cell>
          <cell r="H90" t="str">
            <v>管理職</v>
          </cell>
          <cell r="I90" t="str">
            <v>06</v>
          </cell>
          <cell r="J90" t="str">
            <v>27</v>
          </cell>
          <cell r="K90" t="str">
            <v>課長</v>
          </cell>
          <cell r="L90" t="str">
            <v>調達部調達管理グループ・常</v>
          </cell>
          <cell r="M90" t="str">
            <v>B</v>
          </cell>
          <cell r="N90">
            <v>65.400000000000006</v>
          </cell>
          <cell r="O90">
            <v>65</v>
          </cell>
          <cell r="P90" t="str">
            <v>B</v>
          </cell>
          <cell r="Q90">
            <v>65</v>
          </cell>
        </row>
        <row r="91">
          <cell r="A91" t="str">
            <v>2001</v>
          </cell>
          <cell r="B91" t="str">
            <v>後期</v>
          </cell>
          <cell r="C91" t="str">
            <v>1459501</v>
          </cell>
          <cell r="D91" t="str">
            <v>高宮　芳安</v>
          </cell>
          <cell r="E91" t="str">
            <v>04</v>
          </cell>
          <cell r="F91" t="str">
            <v xml:space="preserve">　（管理職・専門職群）</v>
          </cell>
          <cell r="G91" t="str">
            <v>11</v>
          </cell>
          <cell r="H91" t="str">
            <v>管理職</v>
          </cell>
          <cell r="I91" t="str">
            <v>06</v>
          </cell>
          <cell r="J91" t="str">
            <v>27</v>
          </cell>
          <cell r="K91" t="str">
            <v>課長</v>
          </cell>
          <cell r="L91" t="str">
            <v>出向出向東港運輸</v>
          </cell>
          <cell r="M91" t="str">
            <v>B</v>
          </cell>
          <cell r="N91">
            <v>63</v>
          </cell>
          <cell r="O91">
            <v>63</v>
          </cell>
          <cell r="P91" t="str">
            <v>B</v>
          </cell>
          <cell r="Q91">
            <v>63</v>
          </cell>
        </row>
        <row r="92">
          <cell r="A92" t="str">
            <v>2001</v>
          </cell>
          <cell r="B92" t="str">
            <v>後期</v>
          </cell>
          <cell r="C92" t="str">
            <v>1466502</v>
          </cell>
          <cell r="D92" t="str">
            <v>木村　信之</v>
          </cell>
          <cell r="E92" t="str">
            <v>02</v>
          </cell>
          <cell r="F92" t="str">
            <v xml:space="preserve">　（管理職・専門職群）</v>
          </cell>
          <cell r="G92" t="str">
            <v>11</v>
          </cell>
          <cell r="H92" t="str">
            <v>管理職</v>
          </cell>
          <cell r="I92" t="str">
            <v>06</v>
          </cell>
          <cell r="J92" t="str">
            <v>27</v>
          </cell>
          <cell r="K92" t="str">
            <v>課長</v>
          </cell>
          <cell r="L92" t="str">
            <v>多度津・造船部工作グループ・多度津</v>
          </cell>
          <cell r="M92" t="str">
            <v>B</v>
          </cell>
          <cell r="N92">
            <v>67</v>
          </cell>
          <cell r="O92">
            <v>66</v>
          </cell>
          <cell r="P92" t="str">
            <v>B</v>
          </cell>
          <cell r="Q92">
            <v>66</v>
          </cell>
        </row>
        <row r="93">
          <cell r="A93" t="str">
            <v>2001</v>
          </cell>
          <cell r="B93" t="str">
            <v>後期</v>
          </cell>
          <cell r="C93" t="str">
            <v>1467503</v>
          </cell>
          <cell r="D93" t="str">
            <v>吉村　守夫</v>
          </cell>
          <cell r="E93" t="str">
            <v>04</v>
          </cell>
          <cell r="F93" t="str">
            <v xml:space="preserve">　（管理職・専門職群）</v>
          </cell>
          <cell r="G93" t="str">
            <v>11</v>
          </cell>
          <cell r="H93" t="str">
            <v>管理職</v>
          </cell>
          <cell r="I93" t="str">
            <v>06</v>
          </cell>
          <cell r="J93" t="str">
            <v>27</v>
          </cell>
          <cell r="K93" t="str">
            <v>課長</v>
          </cell>
          <cell r="L93" t="str">
            <v>出向出向ＴＨＩ</v>
          </cell>
          <cell r="M93" t="str">
            <v>B</v>
          </cell>
          <cell r="N93">
            <v>73</v>
          </cell>
          <cell r="O93">
            <v>60</v>
          </cell>
          <cell r="P93" t="str">
            <v>B</v>
          </cell>
          <cell r="Q93">
            <v>60</v>
          </cell>
        </row>
        <row r="94">
          <cell r="A94" t="str">
            <v>2001</v>
          </cell>
          <cell r="B94" t="str">
            <v>後期</v>
          </cell>
          <cell r="C94" t="str">
            <v>1471503</v>
          </cell>
          <cell r="D94" t="str">
            <v>溝口　純一</v>
          </cell>
          <cell r="E94" t="str">
            <v>02</v>
          </cell>
          <cell r="F94" t="str">
            <v xml:space="preserve">　（管理職・専門職群）</v>
          </cell>
          <cell r="G94" t="str">
            <v>11</v>
          </cell>
          <cell r="H94" t="str">
            <v>管理職</v>
          </cell>
          <cell r="I94" t="str">
            <v>06</v>
          </cell>
          <cell r="J94" t="str">
            <v>27</v>
          </cell>
          <cell r="K94" t="str">
            <v>課長</v>
          </cell>
          <cell r="L94" t="str">
            <v>多度津・造船部計画グループ・多度津</v>
          </cell>
          <cell r="M94" t="str">
            <v>B</v>
          </cell>
          <cell r="N94">
            <v>0</v>
          </cell>
          <cell r="O94">
            <v>64</v>
          </cell>
          <cell r="P94" t="str">
            <v>B</v>
          </cell>
          <cell r="Q94">
            <v>64</v>
          </cell>
        </row>
        <row r="95">
          <cell r="A95" t="str">
            <v>2001</v>
          </cell>
          <cell r="B95" t="str">
            <v>後期</v>
          </cell>
          <cell r="C95" t="str">
            <v>1472504</v>
          </cell>
          <cell r="D95" t="str">
            <v>谷口　　学</v>
          </cell>
          <cell r="E95" t="str">
            <v>02</v>
          </cell>
          <cell r="F95" t="str">
            <v xml:space="preserve">　（管理職・専門職群）</v>
          </cell>
          <cell r="G95" t="str">
            <v>11</v>
          </cell>
          <cell r="H95" t="str">
            <v>管理職</v>
          </cell>
          <cell r="I95" t="str">
            <v>06</v>
          </cell>
          <cell r="J95" t="str">
            <v>27</v>
          </cell>
          <cell r="K95" t="str">
            <v>課長</v>
          </cell>
          <cell r="L95" t="str">
            <v>多度津・造船部工作グループ・多度津</v>
          </cell>
          <cell r="M95" t="str">
            <v>B</v>
          </cell>
          <cell r="N95">
            <v>66</v>
          </cell>
          <cell r="O95">
            <v>64</v>
          </cell>
          <cell r="P95" t="str">
            <v>B</v>
          </cell>
          <cell r="Q95">
            <v>64</v>
          </cell>
        </row>
        <row r="96">
          <cell r="A96" t="str">
            <v>2001</v>
          </cell>
          <cell r="B96" t="str">
            <v>後期</v>
          </cell>
          <cell r="C96" t="str">
            <v>1473505</v>
          </cell>
          <cell r="D96" t="str">
            <v>楠　　　進</v>
          </cell>
          <cell r="E96" t="str">
            <v>02</v>
          </cell>
          <cell r="F96" t="str">
            <v xml:space="preserve">　（管理職・専門職群）</v>
          </cell>
          <cell r="G96" t="str">
            <v>11</v>
          </cell>
          <cell r="H96" t="str">
            <v>管理職</v>
          </cell>
          <cell r="I96" t="str">
            <v>06</v>
          </cell>
          <cell r="J96" t="str">
            <v>27</v>
          </cell>
          <cell r="K96" t="str">
            <v>課長</v>
          </cell>
          <cell r="L96" t="str">
            <v>多度津・造船部計画グループ・多度津</v>
          </cell>
          <cell r="M96" t="str">
            <v>B</v>
          </cell>
          <cell r="N96">
            <v>60</v>
          </cell>
          <cell r="O96">
            <v>64</v>
          </cell>
          <cell r="P96" t="str">
            <v>B</v>
          </cell>
          <cell r="Q96">
            <v>64</v>
          </cell>
        </row>
        <row r="97">
          <cell r="A97" t="str">
            <v>2001</v>
          </cell>
          <cell r="B97" t="str">
            <v>後期</v>
          </cell>
          <cell r="C97" t="str">
            <v>1473507</v>
          </cell>
          <cell r="D97" t="str">
            <v>香川　孝光</v>
          </cell>
          <cell r="E97" t="str">
            <v>02</v>
          </cell>
          <cell r="F97" t="str">
            <v xml:space="preserve">　（管理職・専門職群）</v>
          </cell>
          <cell r="G97" t="str">
            <v>11</v>
          </cell>
          <cell r="H97" t="str">
            <v>管理職</v>
          </cell>
          <cell r="I97" t="str">
            <v>06</v>
          </cell>
          <cell r="J97" t="str">
            <v>27</v>
          </cell>
          <cell r="K97" t="str">
            <v>課長</v>
          </cell>
          <cell r="L97" t="str">
            <v>多度津・工場支援室工場支援室</v>
          </cell>
          <cell r="M97" t="str">
            <v>B</v>
          </cell>
          <cell r="N97">
            <v>65</v>
          </cell>
          <cell r="O97">
            <v>62</v>
          </cell>
          <cell r="P97" t="str">
            <v>B</v>
          </cell>
          <cell r="Q97">
            <v>62</v>
          </cell>
        </row>
        <row r="98">
          <cell r="A98" t="str">
            <v>2001</v>
          </cell>
          <cell r="B98" t="str">
            <v>後期</v>
          </cell>
          <cell r="C98" t="str">
            <v>1474514</v>
          </cell>
          <cell r="D98" t="str">
            <v>田中　秀雄</v>
          </cell>
          <cell r="E98" t="str">
            <v>01</v>
          </cell>
          <cell r="F98" t="str">
            <v xml:space="preserve">　（管理職・専門職群）</v>
          </cell>
          <cell r="G98" t="str">
            <v>11</v>
          </cell>
          <cell r="H98" t="str">
            <v>管理職</v>
          </cell>
          <cell r="I98" t="str">
            <v>06</v>
          </cell>
          <cell r="J98" t="str">
            <v>27</v>
          </cell>
          <cell r="K98" t="str">
            <v>課長</v>
          </cell>
          <cell r="L98" t="str">
            <v>調達部調達管理グループ・多</v>
          </cell>
          <cell r="M98" t="str">
            <v>B</v>
          </cell>
          <cell r="N98">
            <v>63</v>
          </cell>
          <cell r="O98">
            <v>60</v>
          </cell>
          <cell r="P98" t="str">
            <v>B</v>
          </cell>
          <cell r="Q98">
            <v>60</v>
          </cell>
        </row>
        <row r="99">
          <cell r="A99" t="str">
            <v>2001</v>
          </cell>
          <cell r="B99" t="str">
            <v>後期</v>
          </cell>
          <cell r="C99" t="str">
            <v>1479505</v>
          </cell>
          <cell r="D99" t="str">
            <v>筑田　新吾</v>
          </cell>
          <cell r="E99" t="str">
            <v>02</v>
          </cell>
          <cell r="F99" t="str">
            <v xml:space="preserve">　（管理職・専門職群）</v>
          </cell>
          <cell r="G99" t="str">
            <v>11</v>
          </cell>
          <cell r="H99" t="str">
            <v>管理職</v>
          </cell>
          <cell r="I99" t="str">
            <v>06</v>
          </cell>
          <cell r="J99" t="str">
            <v>27</v>
          </cell>
          <cell r="K99" t="str">
            <v>課長</v>
          </cell>
          <cell r="L99" t="str">
            <v>多度津・造船部計画グループ・多度津</v>
          </cell>
          <cell r="M99" t="str">
            <v>B</v>
          </cell>
          <cell r="N99">
            <v>61</v>
          </cell>
          <cell r="O99">
            <v>61</v>
          </cell>
          <cell r="P99" t="str">
            <v>B</v>
          </cell>
          <cell r="Q99">
            <v>61</v>
          </cell>
        </row>
        <row r="100">
          <cell r="A100" t="str">
            <v>2001</v>
          </cell>
          <cell r="B100" t="str">
            <v>後期</v>
          </cell>
          <cell r="C100" t="str">
            <v>1481507</v>
          </cell>
          <cell r="D100" t="str">
            <v>木下　浩寿</v>
          </cell>
          <cell r="E100" t="str">
            <v>01</v>
          </cell>
          <cell r="F100" t="str">
            <v xml:space="preserve">　（管理職・専門職群）</v>
          </cell>
          <cell r="G100" t="str">
            <v>11</v>
          </cell>
          <cell r="H100" t="str">
            <v>管理職</v>
          </cell>
          <cell r="I100" t="str">
            <v>06</v>
          </cell>
          <cell r="J100" t="str">
            <v>27</v>
          </cell>
          <cell r="K100" t="str">
            <v>課長</v>
          </cell>
          <cell r="L100" t="str">
            <v>総務部総務グループ・多度津</v>
          </cell>
          <cell r="M100" t="str">
            <v>B</v>
          </cell>
          <cell r="N100">
            <v>64.7</v>
          </cell>
          <cell r="O100">
            <v>78.8</v>
          </cell>
          <cell r="P100" t="str">
            <v>B</v>
          </cell>
          <cell r="Q100">
            <v>66</v>
          </cell>
        </row>
        <row r="101">
          <cell r="A101" t="str">
            <v>2001</v>
          </cell>
          <cell r="B101" t="str">
            <v>後期</v>
          </cell>
          <cell r="C101" t="str">
            <v>1481516</v>
          </cell>
          <cell r="D101" t="str">
            <v>伊達　正敬</v>
          </cell>
          <cell r="E101" t="str">
            <v>02</v>
          </cell>
          <cell r="F101" t="str">
            <v xml:space="preserve">　（管理職・専門職群）</v>
          </cell>
          <cell r="G101" t="str">
            <v>11</v>
          </cell>
          <cell r="H101" t="str">
            <v>管理職</v>
          </cell>
          <cell r="I101" t="str">
            <v>06</v>
          </cell>
          <cell r="J101" t="str">
            <v>27</v>
          </cell>
          <cell r="K101" t="str">
            <v>課長</v>
          </cell>
          <cell r="L101" t="str">
            <v>多度津・造船部工作グループ・多度津</v>
          </cell>
          <cell r="M101" t="str">
            <v>B</v>
          </cell>
          <cell r="N101">
            <v>64</v>
          </cell>
          <cell r="O101">
            <v>64</v>
          </cell>
          <cell r="P101" t="str">
            <v>B</v>
          </cell>
          <cell r="Q101">
            <v>64</v>
          </cell>
        </row>
        <row r="102">
          <cell r="A102" t="str">
            <v>2001</v>
          </cell>
          <cell r="B102" t="str">
            <v>後期</v>
          </cell>
          <cell r="C102" t="str">
            <v>1484503</v>
          </cell>
          <cell r="D102" t="str">
            <v>松田　和則</v>
          </cell>
          <cell r="E102" t="str">
            <v>02</v>
          </cell>
          <cell r="F102" t="str">
            <v xml:space="preserve">　（管理職・専門職群）</v>
          </cell>
          <cell r="G102" t="str">
            <v>11</v>
          </cell>
          <cell r="H102" t="str">
            <v>管理職</v>
          </cell>
          <cell r="I102" t="str">
            <v>06</v>
          </cell>
          <cell r="J102" t="str">
            <v>27</v>
          </cell>
          <cell r="K102" t="str">
            <v>課長</v>
          </cell>
          <cell r="L102" t="str">
            <v>多度津・造船部工作グループ・多度津</v>
          </cell>
          <cell r="M102" t="str">
            <v>B</v>
          </cell>
          <cell r="N102">
            <v>66</v>
          </cell>
          <cell r="O102">
            <v>66</v>
          </cell>
          <cell r="P102" t="str">
            <v>B</v>
          </cell>
          <cell r="Q102">
            <v>66</v>
          </cell>
        </row>
        <row r="103">
          <cell r="A103" t="str">
            <v>2001</v>
          </cell>
          <cell r="B103" t="str">
            <v>後期</v>
          </cell>
          <cell r="C103" t="str">
            <v>1492502</v>
          </cell>
          <cell r="D103" t="str">
            <v>小林　靖季</v>
          </cell>
          <cell r="E103" t="str">
            <v>02</v>
          </cell>
          <cell r="F103" t="str">
            <v xml:space="preserve">　（管理職・専門職群）</v>
          </cell>
          <cell r="G103" t="str">
            <v>11</v>
          </cell>
          <cell r="H103" t="str">
            <v>管理職</v>
          </cell>
          <cell r="I103" t="str">
            <v>06</v>
          </cell>
          <cell r="J103" t="str">
            <v>27</v>
          </cell>
          <cell r="K103" t="str">
            <v>課長</v>
          </cell>
          <cell r="L103" t="str">
            <v>多度津・造船部安全グループ・多度津</v>
          </cell>
          <cell r="M103" t="str">
            <v>B</v>
          </cell>
          <cell r="N103">
            <v>65</v>
          </cell>
          <cell r="O103">
            <v>69</v>
          </cell>
          <cell r="P103" t="str">
            <v>B</v>
          </cell>
          <cell r="Q103">
            <v>69</v>
          </cell>
        </row>
        <row r="104">
          <cell r="A104" t="str">
            <v>2001</v>
          </cell>
          <cell r="B104" t="str">
            <v>後期</v>
          </cell>
          <cell r="C104" t="str">
            <v>1170501</v>
          </cell>
          <cell r="D104" t="str">
            <v>清水　和孝</v>
          </cell>
          <cell r="E104" t="str">
            <v>02</v>
          </cell>
          <cell r="F104" t="str">
            <v xml:space="preserve">　（管理職・専門職群）</v>
          </cell>
          <cell r="G104" t="str">
            <v>11</v>
          </cell>
          <cell r="H104" t="str">
            <v>管理職</v>
          </cell>
          <cell r="I104" t="str">
            <v>06</v>
          </cell>
          <cell r="J104" t="str">
            <v>27</v>
          </cell>
          <cell r="K104" t="str">
            <v>課長</v>
          </cell>
          <cell r="L104" t="str">
            <v>艤装部艤装工作グループ</v>
          </cell>
          <cell r="M104" t="str">
            <v>B</v>
          </cell>
          <cell r="N104">
            <v>59</v>
          </cell>
          <cell r="O104">
            <v>60</v>
          </cell>
          <cell r="P104" t="str">
            <v>B-</v>
          </cell>
          <cell r="Q104">
            <v>60</v>
          </cell>
        </row>
        <row r="105">
          <cell r="A105" t="str">
            <v>2001</v>
          </cell>
          <cell r="B105" t="str">
            <v>後期</v>
          </cell>
          <cell r="C105" t="str">
            <v>1173009</v>
          </cell>
          <cell r="D105" t="str">
            <v xml:space="preserve">渡辺　正敏　　　　　</v>
          </cell>
          <cell r="E105" t="str">
            <v>02</v>
          </cell>
          <cell r="F105" t="str">
            <v xml:space="preserve">　（管理職・専門職群）</v>
          </cell>
          <cell r="G105" t="str">
            <v>11</v>
          </cell>
          <cell r="H105" t="str">
            <v>管理職</v>
          </cell>
          <cell r="I105" t="str">
            <v>06</v>
          </cell>
          <cell r="J105" t="str">
            <v>27</v>
          </cell>
          <cell r="K105" t="str">
            <v>課長</v>
          </cell>
          <cell r="L105" t="str">
            <v>設計技術室</v>
          </cell>
          <cell r="M105" t="str">
            <v>B</v>
          </cell>
          <cell r="N105">
            <v>66</v>
          </cell>
          <cell r="O105">
            <v>64</v>
          </cell>
          <cell r="P105" t="str">
            <v>B+</v>
          </cell>
          <cell r="Q105">
            <v>64</v>
          </cell>
        </row>
        <row r="106">
          <cell r="A106" t="str">
            <v>2001</v>
          </cell>
          <cell r="B106" t="str">
            <v>後期</v>
          </cell>
          <cell r="C106" t="str">
            <v>1175016</v>
          </cell>
          <cell r="D106" t="str">
            <v xml:space="preserve">冨田　雄二　　　　　</v>
          </cell>
          <cell r="E106" t="str">
            <v>04</v>
          </cell>
          <cell r="F106" t="str">
            <v xml:space="preserve">　（管理職・専門職群）</v>
          </cell>
          <cell r="G106" t="str">
            <v>11</v>
          </cell>
          <cell r="H106" t="str">
            <v>管理職</v>
          </cell>
          <cell r="I106" t="str">
            <v>06</v>
          </cell>
          <cell r="J106" t="str">
            <v>27</v>
          </cell>
          <cell r="K106" t="str">
            <v>課長</v>
          </cell>
          <cell r="L106" t="str">
            <v>出向出向ＴＨＩ</v>
          </cell>
          <cell r="M106" t="str">
            <v>B</v>
          </cell>
          <cell r="N106">
            <v>67</v>
          </cell>
          <cell r="O106">
            <v>71</v>
          </cell>
          <cell r="P106" t="str">
            <v>B+</v>
          </cell>
          <cell r="Q106">
            <v>71</v>
          </cell>
        </row>
        <row r="107">
          <cell r="A107" t="str">
            <v>2001</v>
          </cell>
          <cell r="B107" t="str">
            <v>後期</v>
          </cell>
          <cell r="C107" t="str">
            <v>1181061</v>
          </cell>
          <cell r="D107" t="str">
            <v xml:space="preserve">山崎　富善　　　　　</v>
          </cell>
          <cell r="E107" t="str">
            <v>03</v>
          </cell>
          <cell r="F107" t="str">
            <v xml:space="preserve">　（管理職・専門職群）</v>
          </cell>
          <cell r="G107" t="str">
            <v>11</v>
          </cell>
          <cell r="H107" t="str">
            <v>管理職</v>
          </cell>
          <cell r="I107" t="str">
            <v>06</v>
          </cell>
          <cell r="J107" t="str">
            <v>27</v>
          </cell>
          <cell r="K107" t="str">
            <v>課長</v>
          </cell>
          <cell r="L107" t="str">
            <v>修繕工作部修繕船梁課</v>
          </cell>
          <cell r="M107" t="str">
            <v>B</v>
          </cell>
          <cell r="N107">
            <v>74</v>
          </cell>
          <cell r="O107">
            <v>66</v>
          </cell>
          <cell r="P107" t="str">
            <v>B+</v>
          </cell>
          <cell r="Q107">
            <v>66</v>
          </cell>
        </row>
        <row r="108">
          <cell r="A108" t="str">
            <v>2001</v>
          </cell>
          <cell r="B108" t="str">
            <v>後期</v>
          </cell>
          <cell r="C108" t="str">
            <v>1182044</v>
          </cell>
          <cell r="D108" t="str">
            <v xml:space="preserve">柞磨　英慈　　　　　</v>
          </cell>
          <cell r="E108" t="str">
            <v>01</v>
          </cell>
          <cell r="F108" t="str">
            <v xml:space="preserve">　（管理職・専門職群）</v>
          </cell>
          <cell r="G108" t="str">
            <v>11</v>
          </cell>
          <cell r="H108" t="str">
            <v>管理職</v>
          </cell>
          <cell r="I108" t="str">
            <v>06</v>
          </cell>
          <cell r="J108" t="str">
            <v>27</v>
          </cell>
          <cell r="K108" t="str">
            <v>課長</v>
          </cell>
          <cell r="L108" t="str">
            <v>調達部鋼材グループ</v>
          </cell>
          <cell r="M108" t="str">
            <v>B</v>
          </cell>
          <cell r="N108">
            <v>68</v>
          </cell>
          <cell r="O108">
            <v>68</v>
          </cell>
          <cell r="P108" t="str">
            <v>B+</v>
          </cell>
          <cell r="Q108">
            <v>68</v>
          </cell>
        </row>
        <row r="109">
          <cell r="A109" t="str">
            <v>2001</v>
          </cell>
          <cell r="B109" t="str">
            <v>後期</v>
          </cell>
          <cell r="C109" t="str">
            <v>1183039</v>
          </cell>
          <cell r="D109" t="str">
            <v xml:space="preserve">塩谷　勝男　　　　　</v>
          </cell>
          <cell r="E109" t="str">
            <v>03</v>
          </cell>
          <cell r="F109" t="str">
            <v xml:space="preserve">　（管理職・専門職群）</v>
          </cell>
          <cell r="G109" t="str">
            <v>11</v>
          </cell>
          <cell r="H109" t="str">
            <v>管理職</v>
          </cell>
          <cell r="I109" t="str">
            <v>06</v>
          </cell>
          <cell r="J109" t="str">
            <v>27</v>
          </cell>
          <cell r="K109" t="str">
            <v>課長</v>
          </cell>
          <cell r="L109" t="str">
            <v>修繕業務部修繕技術課</v>
          </cell>
          <cell r="M109" t="str">
            <v>B</v>
          </cell>
          <cell r="N109">
            <v>67.5</v>
          </cell>
          <cell r="O109">
            <v>68</v>
          </cell>
          <cell r="P109" t="str">
            <v>B+</v>
          </cell>
          <cell r="Q109">
            <v>68</v>
          </cell>
        </row>
        <row r="110">
          <cell r="A110" t="str">
            <v>2001</v>
          </cell>
          <cell r="B110" t="str">
            <v>後期</v>
          </cell>
          <cell r="C110" t="str">
            <v>1183058</v>
          </cell>
          <cell r="D110" t="str">
            <v xml:space="preserve">奥村　幸生　　　　　</v>
          </cell>
          <cell r="E110" t="str">
            <v>02</v>
          </cell>
          <cell r="F110" t="str">
            <v xml:space="preserve">　（管理職・専門職群）</v>
          </cell>
          <cell r="G110" t="str">
            <v>11</v>
          </cell>
          <cell r="H110" t="str">
            <v>管理職</v>
          </cell>
          <cell r="I110" t="str">
            <v>06</v>
          </cell>
          <cell r="J110" t="str">
            <v>27</v>
          </cell>
          <cell r="K110" t="str">
            <v>課長</v>
          </cell>
          <cell r="L110" t="str">
            <v>船殻部船殻工作グループ</v>
          </cell>
          <cell r="M110" t="str">
            <v>B</v>
          </cell>
          <cell r="N110">
            <v>61</v>
          </cell>
          <cell r="O110">
            <v>66</v>
          </cell>
          <cell r="P110" t="str">
            <v>B+</v>
          </cell>
          <cell r="Q110">
            <v>66</v>
          </cell>
        </row>
        <row r="111">
          <cell r="A111" t="str">
            <v>2001</v>
          </cell>
          <cell r="B111" t="str">
            <v>後期</v>
          </cell>
          <cell r="C111" t="str">
            <v>1188023</v>
          </cell>
          <cell r="D111" t="str">
            <v xml:space="preserve">福岡　邦孝　　　　　</v>
          </cell>
          <cell r="E111" t="str">
            <v>02</v>
          </cell>
          <cell r="F111" t="str">
            <v xml:space="preserve">　（管理職・専門職群）</v>
          </cell>
          <cell r="G111" t="str">
            <v>11</v>
          </cell>
          <cell r="H111" t="str">
            <v>管理職</v>
          </cell>
          <cell r="I111" t="str">
            <v>06</v>
          </cell>
          <cell r="J111" t="str">
            <v>27</v>
          </cell>
          <cell r="K111" t="str">
            <v>課長</v>
          </cell>
          <cell r="L111" t="str">
            <v>基本設計部基本計画グループ</v>
          </cell>
          <cell r="M111" t="str">
            <v>B</v>
          </cell>
          <cell r="N111">
            <v>67</v>
          </cell>
          <cell r="O111">
            <v>66</v>
          </cell>
          <cell r="P111" t="str">
            <v>B+</v>
          </cell>
          <cell r="Q111">
            <v>66</v>
          </cell>
        </row>
        <row r="112">
          <cell r="A112" t="str">
            <v>2001</v>
          </cell>
          <cell r="B112" t="str">
            <v>後期</v>
          </cell>
          <cell r="C112" t="str">
            <v>1191201</v>
          </cell>
          <cell r="D112" t="str">
            <v xml:space="preserve">渡壁　哲夫　　　　　</v>
          </cell>
          <cell r="E112" t="str">
            <v>01</v>
          </cell>
          <cell r="F112" t="str">
            <v xml:space="preserve">　（管理職・専門職群）</v>
          </cell>
          <cell r="G112" t="str">
            <v>11</v>
          </cell>
          <cell r="H112" t="str">
            <v>管理職</v>
          </cell>
          <cell r="I112" t="str">
            <v>06</v>
          </cell>
          <cell r="J112" t="str">
            <v>27</v>
          </cell>
          <cell r="K112" t="str">
            <v>課長</v>
          </cell>
          <cell r="L112" t="str">
            <v>第二営業部第二営業グループ</v>
          </cell>
          <cell r="M112" t="str">
            <v>B</v>
          </cell>
          <cell r="N112">
            <v>68</v>
          </cell>
          <cell r="O112">
            <v>68</v>
          </cell>
          <cell r="P112" t="str">
            <v>B+</v>
          </cell>
          <cell r="Q112">
            <v>68</v>
          </cell>
        </row>
        <row r="113">
          <cell r="A113" t="str">
            <v>2001</v>
          </cell>
          <cell r="B113" t="str">
            <v>後期</v>
          </cell>
          <cell r="C113" t="str">
            <v>1198005</v>
          </cell>
          <cell r="D113" t="str">
            <v xml:space="preserve">佐藤　尚英　　　　　</v>
          </cell>
          <cell r="E113" t="str">
            <v>01</v>
          </cell>
          <cell r="F113" t="str">
            <v xml:space="preserve">　（管理職・専門職群）</v>
          </cell>
          <cell r="G113" t="str">
            <v>11</v>
          </cell>
          <cell r="H113" t="str">
            <v>管理職</v>
          </cell>
          <cell r="I113" t="str">
            <v>06</v>
          </cell>
          <cell r="J113" t="str">
            <v>27</v>
          </cell>
          <cell r="K113" t="str">
            <v>課長</v>
          </cell>
          <cell r="L113" t="str">
            <v>第二営業部第二営業グループ</v>
          </cell>
          <cell r="M113" t="str">
            <v>B</v>
          </cell>
          <cell r="N113">
            <v>74</v>
          </cell>
          <cell r="O113">
            <v>70</v>
          </cell>
          <cell r="P113" t="str">
            <v>B+</v>
          </cell>
          <cell r="Q113">
            <v>70</v>
          </cell>
        </row>
        <row r="114">
          <cell r="A114" t="str">
            <v>2001</v>
          </cell>
          <cell r="B114" t="str">
            <v>後期</v>
          </cell>
          <cell r="C114" t="str">
            <v>1474502</v>
          </cell>
          <cell r="D114" t="str">
            <v>大山　恒夫</v>
          </cell>
          <cell r="E114" t="str">
            <v>02</v>
          </cell>
          <cell r="F114" t="str">
            <v xml:space="preserve">　（管理職・専門職群）</v>
          </cell>
          <cell r="G114" t="str">
            <v>11</v>
          </cell>
          <cell r="H114" t="str">
            <v>管理職</v>
          </cell>
          <cell r="I114" t="str">
            <v>06</v>
          </cell>
          <cell r="J114" t="str">
            <v>27</v>
          </cell>
          <cell r="K114" t="str">
            <v>課長</v>
          </cell>
          <cell r="L114" t="str">
            <v>多度津工場・品質管理検査グルーブ・多度津</v>
          </cell>
          <cell r="M114" t="str">
            <v>B</v>
          </cell>
          <cell r="N114">
            <v>60</v>
          </cell>
          <cell r="O114">
            <v>60</v>
          </cell>
          <cell r="P114" t="str">
            <v>B+</v>
          </cell>
          <cell r="Q114">
            <v>60</v>
          </cell>
        </row>
        <row r="115">
          <cell r="A115" t="str">
            <v>2001</v>
          </cell>
          <cell r="B115" t="str">
            <v>後期</v>
          </cell>
          <cell r="C115" t="str">
            <v>1481034</v>
          </cell>
          <cell r="D115" t="str">
            <v xml:space="preserve">藤縄　滋　　　　　　</v>
          </cell>
          <cell r="E115" t="str">
            <v>02</v>
          </cell>
          <cell r="F115" t="str">
            <v xml:space="preserve">　（管理職・専門職群）</v>
          </cell>
          <cell r="G115" t="str">
            <v>11</v>
          </cell>
          <cell r="H115" t="str">
            <v>管理職</v>
          </cell>
          <cell r="I115" t="str">
            <v>06</v>
          </cell>
          <cell r="J115" t="str">
            <v>27</v>
          </cell>
          <cell r="K115" t="str">
            <v>課長</v>
          </cell>
          <cell r="L115" t="str">
            <v>多度津・造船部工作グループ・多度津</v>
          </cell>
          <cell r="M115" t="str">
            <v>B</v>
          </cell>
          <cell r="N115">
            <v>67</v>
          </cell>
          <cell r="O115">
            <v>70</v>
          </cell>
          <cell r="P115" t="str">
            <v>B+</v>
          </cell>
          <cell r="Q115">
            <v>70</v>
          </cell>
        </row>
        <row r="116">
          <cell r="A116" t="str">
            <v>2001</v>
          </cell>
          <cell r="B116" t="str">
            <v>後期</v>
          </cell>
          <cell r="C116" t="str">
            <v>1492517</v>
          </cell>
          <cell r="D116" t="str">
            <v>上藤　茂</v>
          </cell>
          <cell r="E116" t="str">
            <v>02</v>
          </cell>
          <cell r="F116" t="str">
            <v xml:space="preserve">　（管理職・専門職群）</v>
          </cell>
          <cell r="G116" t="str">
            <v>11</v>
          </cell>
          <cell r="H116" t="str">
            <v>管理職</v>
          </cell>
          <cell r="I116" t="str">
            <v>06</v>
          </cell>
          <cell r="J116" t="str">
            <v>27</v>
          </cell>
          <cell r="K116" t="str">
            <v>課長</v>
          </cell>
          <cell r="L116" t="str">
            <v>多度津・造船部工作グループ・多度津</v>
          </cell>
          <cell r="M116" t="str">
            <v>B</v>
          </cell>
          <cell r="N116">
            <v>70</v>
          </cell>
          <cell r="O116">
            <v>70</v>
          </cell>
          <cell r="P116" t="str">
            <v>B+</v>
          </cell>
          <cell r="Q116">
            <v>70</v>
          </cell>
        </row>
        <row r="117">
          <cell r="A117" t="str">
            <v>2001</v>
          </cell>
          <cell r="B117" t="str">
            <v>後期</v>
          </cell>
          <cell r="C117" t="str">
            <v>1499059</v>
          </cell>
          <cell r="D117" t="str">
            <v xml:space="preserve">高山　裕之　　　　　</v>
          </cell>
          <cell r="E117" t="str">
            <v>02</v>
          </cell>
          <cell r="F117" t="str">
            <v xml:space="preserve">　（管理職・専門職群）</v>
          </cell>
          <cell r="G117" t="str">
            <v>11</v>
          </cell>
          <cell r="H117" t="str">
            <v>管理職</v>
          </cell>
          <cell r="I117" t="str">
            <v>06</v>
          </cell>
          <cell r="J117" t="str">
            <v>27</v>
          </cell>
          <cell r="K117" t="str">
            <v>課長</v>
          </cell>
          <cell r="L117" t="str">
            <v>多度津工場・品質管理品質管理グループ・多</v>
          </cell>
          <cell r="M117" t="str">
            <v>B</v>
          </cell>
          <cell r="N117">
            <v>82.5</v>
          </cell>
          <cell r="O117">
            <v>71</v>
          </cell>
          <cell r="P117" t="str">
            <v>B+</v>
          </cell>
          <cell r="Q117">
            <v>71</v>
          </cell>
        </row>
        <row r="118">
          <cell r="A118" t="str">
            <v>2001</v>
          </cell>
          <cell r="B118" t="str">
            <v>後期</v>
          </cell>
          <cell r="C118" t="str">
            <v>1188021</v>
          </cell>
          <cell r="D118" t="str">
            <v xml:space="preserve">永島　昭彦　　　　　</v>
          </cell>
          <cell r="E118" t="str">
            <v>02</v>
          </cell>
          <cell r="F118" t="str">
            <v xml:space="preserve">　（管理職・専門職群）</v>
          </cell>
          <cell r="G118" t="str">
            <v>13</v>
          </cell>
          <cell r="H118" t="str">
            <v>専門職</v>
          </cell>
          <cell r="I118" t="str">
            <v>06</v>
          </cell>
          <cell r="J118" t="str">
            <v>26</v>
          </cell>
          <cell r="K118" t="str">
            <v>専門課長</v>
          </cell>
          <cell r="L118" t="str">
            <v>艤装部艤装設計グループ</v>
          </cell>
          <cell r="M118" t="str">
            <v>B</v>
          </cell>
          <cell r="N118">
            <v>65.099999999999994</v>
          </cell>
          <cell r="O118">
            <v>64</v>
          </cell>
          <cell r="P118" t="str">
            <v>B</v>
          </cell>
          <cell r="Q118">
            <v>64</v>
          </cell>
        </row>
        <row r="119">
          <cell r="A119" t="str">
            <v>2001</v>
          </cell>
          <cell r="B119" t="str">
            <v>後期</v>
          </cell>
          <cell r="C119" t="str">
            <v>1173072</v>
          </cell>
          <cell r="D119" t="str">
            <v xml:space="preserve">檀上　海士　　　　　</v>
          </cell>
          <cell r="E119" t="str">
            <v>02</v>
          </cell>
          <cell r="F119" t="str">
            <v xml:space="preserve">　（管理職・専門職群）</v>
          </cell>
          <cell r="G119" t="str">
            <v>13</v>
          </cell>
          <cell r="H119" t="str">
            <v>専門職</v>
          </cell>
          <cell r="I119" t="str">
            <v>06</v>
          </cell>
          <cell r="J119" t="str">
            <v>26</v>
          </cell>
          <cell r="K119" t="str">
            <v>専門課長</v>
          </cell>
          <cell r="L119" t="str">
            <v>安全グルーブ</v>
          </cell>
          <cell r="M119" t="str">
            <v>B</v>
          </cell>
          <cell r="N119">
            <v>65.7</v>
          </cell>
          <cell r="O119">
            <v>66</v>
          </cell>
          <cell r="P119" t="str">
            <v>B+</v>
          </cell>
          <cell r="Q119">
            <v>66</v>
          </cell>
        </row>
        <row r="120">
          <cell r="A120" t="str">
            <v>2001</v>
          </cell>
          <cell r="B120" t="str">
            <v>後期</v>
          </cell>
          <cell r="C120" t="str">
            <v>1179008</v>
          </cell>
          <cell r="D120" t="str">
            <v xml:space="preserve">黒瀬　慎治　　　　　</v>
          </cell>
          <cell r="E120" t="str">
            <v>02</v>
          </cell>
          <cell r="F120" t="str">
            <v xml:space="preserve">　（管理職・専門職群）</v>
          </cell>
          <cell r="G120" t="str">
            <v>13</v>
          </cell>
          <cell r="H120" t="str">
            <v>専門職</v>
          </cell>
          <cell r="I120" t="str">
            <v>06</v>
          </cell>
          <cell r="J120" t="str">
            <v>26</v>
          </cell>
          <cell r="K120" t="str">
            <v>専門課長</v>
          </cell>
          <cell r="L120" t="str">
            <v>船殻部船殻設計グループ</v>
          </cell>
          <cell r="M120" t="str">
            <v>B</v>
          </cell>
          <cell r="N120">
            <v>59.6</v>
          </cell>
          <cell r="O120">
            <v>66</v>
          </cell>
          <cell r="P120" t="str">
            <v>B+</v>
          </cell>
          <cell r="Q120">
            <v>66</v>
          </cell>
        </row>
        <row r="121">
          <cell r="A121" t="str">
            <v>2001</v>
          </cell>
          <cell r="B121" t="str">
            <v>後期</v>
          </cell>
          <cell r="C121" t="str">
            <v>1179033</v>
          </cell>
          <cell r="D121" t="str">
            <v xml:space="preserve">宮本　日出男　　　　</v>
          </cell>
          <cell r="E121" t="str">
            <v>03</v>
          </cell>
          <cell r="F121" t="str">
            <v xml:space="preserve">　（管理職・専門職群）</v>
          </cell>
          <cell r="G121" t="str">
            <v>13</v>
          </cell>
          <cell r="H121" t="str">
            <v>専門職</v>
          </cell>
          <cell r="I121" t="str">
            <v>06</v>
          </cell>
          <cell r="J121" t="str">
            <v>26</v>
          </cell>
          <cell r="K121" t="str">
            <v>専門課長</v>
          </cell>
          <cell r="L121" t="str">
            <v>ドッママスター</v>
          </cell>
          <cell r="M121" t="str">
            <v>B</v>
          </cell>
          <cell r="N121">
            <v>76</v>
          </cell>
          <cell r="O121">
            <v>76</v>
          </cell>
          <cell r="P121" t="str">
            <v>B+</v>
          </cell>
          <cell r="Q121">
            <v>76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G45"/>
  <sheetViews>
    <sheetView tabSelected="1" zoomScale="55" zoomScaleNormal="55" workbookViewId="0">
      <selection activeCell="X4" sqref="X4"/>
    </sheetView>
  </sheetViews>
  <sheetFormatPr baseColWidth="8" defaultColWidth="8.875" defaultRowHeight="18.75"/>
  <cols>
    <col width="13.375" customWidth="1" min="1" max="1"/>
    <col width="6" customWidth="1" min="2" max="2"/>
    <col width="20" customWidth="1" min="3" max="3"/>
    <col width="36" customWidth="1" min="4" max="4"/>
    <col width="10" customWidth="1" min="5" max="5"/>
    <col width="10" customWidth="1" min="6" max="6"/>
    <col width="14" customWidth="1" min="7" max="7"/>
    <col width="11.625" customWidth="1" min="8" max="8"/>
    <col width="12.125" customWidth="1" min="9" max="9"/>
    <col width="9.625" customWidth="1" min="10" max="10"/>
    <col width="23.5" customWidth="1" min="11" max="11"/>
    <col width="7.125" customWidth="1" min="18" max="20"/>
  </cols>
  <sheetData>
    <row r="2" ht="28" customHeight="1" thickBot="1">
      <c r="B2" s="51" t="inlineStr">
        <is>
          <t>取締役工場長　業務記録フォーマット</t>
        </is>
      </c>
    </row>
    <row r="3" ht="19.5" customHeight="1" thickBot="1"/>
    <row r="4" ht="20" customHeight="1" thickBot="1">
      <c r="B4" s="52" t="inlineStr">
        <is>
          <t>【カテゴリ定義】</t>
        </is>
      </c>
    </row>
    <row r="5" ht="18" customHeight="1">
      <c r="B5" s="52" t="inlineStr">
        <is>
          <t>No.</t>
        </is>
      </c>
      <c r="C5" s="52" t="inlineStr">
        <is>
          <t>カテゴリ名</t>
        </is>
      </c>
      <c r="D5" s="52" t="inlineStr">
        <is>
          <t>業務内容の例</t>
        </is>
      </c>
      <c r="E5" s="53" t="n"/>
      <c r="F5" s="53" t="n"/>
      <c r="G5" s="53" t="n"/>
    </row>
    <row r="6" ht="22" customHeight="1">
      <c r="B6" s="54" t="inlineStr">
        <is>
          <t>①</t>
        </is>
      </c>
      <c r="C6" s="55" t="inlineStr">
        <is>
          <t>経営・対外業務</t>
        </is>
      </c>
      <c r="D6" s="56" t="inlineStr">
        <is>
          <t>来客対応、銀行・取引先折衝、対外打ち合わせ</t>
        </is>
      </c>
      <c r="E6" s="57" t="n"/>
      <c r="F6" s="57" t="n"/>
      <c r="G6" s="57" t="n"/>
    </row>
    <row r="7" ht="22" customHeight="1">
      <c r="B7" s="58" t="inlineStr">
        <is>
          <t>②</t>
        </is>
      </c>
      <c r="C7" s="59" t="inlineStr">
        <is>
          <t>社内マネジメント</t>
        </is>
      </c>
      <c r="D7" s="60" t="inlineStr">
        <is>
          <t>部下・他部門との打ち合わせ、指示・調整</t>
        </is>
      </c>
      <c r="E7" s="61" t="n"/>
      <c r="F7" s="61" t="n"/>
      <c r="G7" s="61" t="n"/>
    </row>
    <row r="8" ht="22" customHeight="1">
      <c r="B8" s="62" t="inlineStr">
        <is>
          <t>③</t>
        </is>
      </c>
      <c r="C8" s="63" t="inlineStr">
        <is>
          <t>現場管理・監督</t>
        </is>
      </c>
      <c r="D8" s="64" t="inlineStr">
        <is>
          <t>現場巡回、品質・安全確認、現場指導</t>
        </is>
      </c>
      <c r="E8" s="65" t="n"/>
      <c r="F8" s="65" t="n"/>
      <c r="G8" s="65" t="n"/>
    </row>
    <row r="9" ht="22" customHeight="1">
      <c r="B9" s="66" t="inlineStr">
        <is>
          <t>④</t>
        </is>
      </c>
      <c r="C9" s="67" t="inlineStr">
        <is>
          <t>現場直接作業</t>
        </is>
      </c>
      <c r="D9" s="68" t="inlineStr">
        <is>
          <t>自ら手を動かす作業（委任検討対象）</t>
        </is>
      </c>
      <c r="E9" s="69" t="n"/>
      <c r="F9" s="69" t="n"/>
      <c r="G9" s="69" t="n"/>
    </row>
    <row r="10" ht="22" customHeight="1">
      <c r="B10" s="70" t="inlineStr">
        <is>
          <t>⑤</t>
        </is>
      </c>
      <c r="C10" s="71" t="inlineStr">
        <is>
          <t>社内事務・管理</t>
        </is>
      </c>
      <c r="D10" s="72" t="inlineStr">
        <is>
          <t>メール、資料・報告書作成、事務処理</t>
        </is>
      </c>
      <c r="E10" s="73" t="n"/>
      <c r="F10" s="73" t="n"/>
      <c r="G10" s="73" t="n"/>
    </row>
    <row r="11" ht="22" customHeight="1">
      <c r="B11" s="74" t="inlineStr">
        <is>
          <t>⑥</t>
        </is>
      </c>
      <c r="C11" s="75" t="inlineStr">
        <is>
          <t>定常・移動・休憩</t>
        </is>
      </c>
      <c r="D11" s="76" t="inlineStr">
        <is>
          <t>朝礼、移動、掃除、休憩</t>
        </is>
      </c>
      <c r="E11" s="77" t="n"/>
      <c r="F11" s="77" t="n"/>
      <c r="G11" s="77" t="n"/>
    </row>
    <row r="14" ht="20" customHeight="1">
      <c r="B14" s="52" t="inlineStr">
        <is>
          <t>【日次入力テンプレート】　　日付：</t>
        </is>
      </c>
    </row>
    <row r="15" ht="22" customHeight="1">
      <c r="B15" s="52" t="inlineStr">
        <is>
          <t>No.</t>
        </is>
      </c>
      <c r="C15" s="52" t="inlineStr">
        <is>
          <t>カテゴリ名</t>
        </is>
      </c>
      <c r="D15" s="52" t="inlineStr">
        <is>
          <t>業務内容</t>
        </is>
      </c>
      <c r="E15" s="52" t="inlineStr">
        <is>
          <t>開始</t>
        </is>
      </c>
      <c r="F15" s="52" t="inlineStr">
        <is>
          <t>終了</t>
        </is>
      </c>
      <c r="G15" s="52" t="inlineStr">
        <is>
          <t>所要時間（分）</t>
        </is>
      </c>
    </row>
    <row r="16" ht="18" customHeight="1">
      <c r="B16" s="78" t="n"/>
      <c r="C16" s="78" t="n"/>
      <c r="D16" s="78" t="n"/>
      <c r="E16" s="78" t="n"/>
      <c r="F16" s="78" t="n"/>
      <c r="G16" s="78" t="n"/>
    </row>
    <row r="17" ht="18" customHeight="1">
      <c r="B17" s="79" t="n"/>
      <c r="C17" s="79" t="n"/>
      <c r="D17" s="79" t="n"/>
      <c r="E17" s="79" t="n"/>
      <c r="F17" s="79" t="n"/>
      <c r="G17" s="79" t="n"/>
    </row>
    <row r="18" ht="18" customHeight="1">
      <c r="B18" s="78" t="n"/>
      <c r="C18" s="78" t="n"/>
      <c r="D18" s="78" t="n"/>
      <c r="E18" s="78" t="n"/>
      <c r="F18" s="78" t="n"/>
      <c r="G18" s="78" t="n"/>
    </row>
    <row r="19" ht="18" customHeight="1">
      <c r="B19" s="79" t="n"/>
      <c r="C19" s="79" t="n"/>
      <c r="D19" s="79" t="n"/>
      <c r="E19" s="79" t="n"/>
      <c r="F19" s="79" t="n"/>
      <c r="G19" s="79" t="n"/>
    </row>
    <row r="20" ht="18" customHeight="1">
      <c r="B20" s="78" t="n"/>
      <c r="C20" s="78" t="n"/>
      <c r="D20" s="78" t="n"/>
      <c r="E20" s="78" t="n"/>
      <c r="F20" s="78" t="n"/>
      <c r="G20" s="78" t="n"/>
    </row>
    <row r="21" ht="18" customHeight="1">
      <c r="B21" s="79" t="n"/>
      <c r="C21" s="79" t="n"/>
      <c r="D21" s="79" t="n"/>
      <c r="E21" s="79" t="n"/>
      <c r="F21" s="79" t="n"/>
      <c r="G21" s="79" t="n"/>
    </row>
    <row r="22" ht="18" customHeight="1">
      <c r="B22" s="78" t="n"/>
      <c r="C22" s="78" t="n"/>
      <c r="D22" s="78" t="n"/>
      <c r="E22" s="78" t="n"/>
      <c r="F22" s="78" t="n"/>
      <c r="G22" s="78" t="n"/>
    </row>
    <row r="23" ht="18" customHeight="1">
      <c r="B23" s="79" t="n"/>
      <c r="C23" s="79" t="n"/>
      <c r="D23" s="79" t="n"/>
      <c r="E23" s="79" t="n"/>
      <c r="F23" s="79" t="n"/>
      <c r="G23" s="79" t="n"/>
    </row>
    <row r="24" ht="18" customHeight="1">
      <c r="B24" s="78" t="n"/>
      <c r="C24" s="78" t="n"/>
      <c r="D24" s="78" t="n"/>
      <c r="E24" s="78" t="n"/>
      <c r="F24" s="78" t="n"/>
      <c r="G24" s="78" t="n"/>
    </row>
    <row r="25" ht="18" customHeight="1">
      <c r="B25" s="79" t="n"/>
      <c r="C25" s="79" t="n"/>
      <c r="D25" s="79" t="n"/>
      <c r="E25" s="79" t="n"/>
      <c r="F25" s="79" t="n"/>
      <c r="G25" s="79" t="n"/>
    </row>
    <row r="26" ht="18" customHeight="1">
      <c r="B26" s="78" t="n"/>
      <c r="C26" s="78" t="n"/>
      <c r="D26" s="78" t="n"/>
      <c r="E26" s="78" t="n"/>
      <c r="F26" s="78" t="n"/>
      <c r="G26" s="78" t="n"/>
    </row>
    <row r="27" ht="18" customHeight="1">
      <c r="B27" s="79" t="n"/>
      <c r="C27" s="79" t="n"/>
      <c r="D27" s="79" t="n"/>
      <c r="E27" s="79" t="n"/>
      <c r="F27" s="79" t="n"/>
      <c r="G27" s="79" t="n"/>
    </row>
    <row r="28" ht="18" customHeight="1">
      <c r="B28" s="78" t="n"/>
      <c r="C28" s="78" t="n"/>
      <c r="D28" s="78" t="n"/>
      <c r="E28" s="78" t="n"/>
      <c r="F28" s="78" t="n"/>
      <c r="G28" s="78" t="n"/>
    </row>
    <row r="29" ht="18" customHeight="1">
      <c r="B29" s="79" t="n"/>
      <c r="C29" s="79" t="n"/>
      <c r="D29" s="79" t="n"/>
      <c r="E29" s="79" t="n"/>
      <c r="F29" s="79" t="n"/>
      <c r="G29" s="79" t="n"/>
    </row>
    <row r="30" ht="18" customHeight="1">
      <c r="B30" s="78" t="n"/>
      <c r="C30" s="78" t="n"/>
      <c r="D30" s="78" t="n"/>
      <c r="E30" s="78" t="n"/>
      <c r="F30" s="78" t="n"/>
      <c r="G30" s="78" t="n"/>
    </row>
    <row r="31" ht="18" customHeight="1">
      <c r="B31" s="79" t="n"/>
      <c r="C31" s="79" t="n"/>
      <c r="D31" s="79" t="n"/>
      <c r="E31" s="79" t="n"/>
      <c r="F31" s="79" t="n"/>
      <c r="G31" s="79" t="n"/>
    </row>
    <row r="32" ht="18" customHeight="1">
      <c r="B32" s="78" t="n"/>
      <c r="C32" s="78" t="n"/>
      <c r="D32" s="78" t="n"/>
      <c r="E32" s="78" t="n"/>
      <c r="F32" s="78" t="n"/>
      <c r="G32" s="78" t="n"/>
    </row>
    <row r="33" ht="18" customHeight="1">
      <c r="B33" s="79" t="n"/>
      <c r="C33" s="79" t="n"/>
      <c r="D33" s="79" t="n"/>
      <c r="E33" s="79" t="n"/>
      <c r="F33" s="79" t="n"/>
      <c r="G33" s="79" t="n"/>
    </row>
    <row r="34" ht="18" customHeight="1">
      <c r="B34" s="78" t="n"/>
      <c r="C34" s="78" t="n"/>
      <c r="D34" s="78" t="n"/>
      <c r="E34" s="78" t="n"/>
      <c r="F34" s="78" t="n"/>
      <c r="G34" s="78" t="n"/>
    </row>
    <row r="35" ht="18" customHeight="1">
      <c r="B35" s="79" t="n"/>
      <c r="C35" s="79" t="n"/>
      <c r="D35" s="79" t="n"/>
      <c r="E35" s="79" t="n"/>
      <c r="F35" s="79" t="n"/>
      <c r="G35" s="79" t="n"/>
    </row>
    <row r="37" ht="20" customHeight="1">
      <c r="B37" s="52" t="inlineStr">
        <is>
          <t>【カテゴリ別集計】</t>
        </is>
      </c>
    </row>
    <row r="38" ht="18" customHeight="1">
      <c r="B38" s="52" t="inlineStr">
        <is>
          <t>No.</t>
        </is>
      </c>
      <c r="C38" s="52" t="inlineStr">
        <is>
          <t>カテゴリ名</t>
        </is>
      </c>
      <c r="D38" s="52" t="inlineStr">
        <is>
          <t>合計（分）</t>
        </is>
      </c>
      <c r="E38" s="52" t="inlineStr">
        <is>
          <t>合計（時間）</t>
        </is>
      </c>
      <c r="F38" s="52" t="inlineStr">
        <is>
          <t>割合</t>
        </is>
      </c>
      <c r="G38" s="52" t="inlineStr">
        <is>
          <t>評価</t>
        </is>
      </c>
    </row>
    <row r="39" ht="18" customHeight="1">
      <c r="B39" s="54" t="inlineStr">
        <is>
          <t>①</t>
        </is>
      </c>
      <c r="C39" s="80" t="inlineStr">
        <is>
          <t>経営・対外業務</t>
        </is>
      </c>
      <c r="D39" s="57" t="n"/>
      <c r="E39" s="57" t="n"/>
      <c r="F39" s="57" t="n"/>
      <c r="G39" s="57" t="n"/>
    </row>
    <row r="40" ht="18" customHeight="1">
      <c r="B40" s="58" t="inlineStr">
        <is>
          <t>②</t>
        </is>
      </c>
      <c r="C40" s="81" t="inlineStr">
        <is>
          <t>社内マネジメント</t>
        </is>
      </c>
      <c r="D40" s="61" t="n"/>
      <c r="E40" s="61" t="n"/>
      <c r="F40" s="61" t="n"/>
      <c r="G40" s="61" t="n"/>
    </row>
    <row r="41" ht="18" customHeight="1">
      <c r="B41" s="62" t="inlineStr">
        <is>
          <t>③</t>
        </is>
      </c>
      <c r="C41" s="82" t="inlineStr">
        <is>
          <t>現場管理・監督</t>
        </is>
      </c>
      <c r="D41" s="65" t="n"/>
      <c r="E41" s="65" t="n"/>
      <c r="F41" s="65" t="n"/>
      <c r="G41" s="65" t="n"/>
    </row>
    <row r="42" ht="18" customHeight="1">
      <c r="B42" s="66" t="inlineStr">
        <is>
          <t>④</t>
        </is>
      </c>
      <c r="C42" s="83" t="inlineStr">
        <is>
          <t>現場直接作業</t>
        </is>
      </c>
      <c r="D42" s="69" t="n"/>
      <c r="E42" s="69" t="n"/>
      <c r="F42" s="69" t="n"/>
      <c r="G42" s="69" t="n"/>
    </row>
    <row r="43" ht="18" customHeight="1" thickBot="1">
      <c r="B43" s="70" t="inlineStr">
        <is>
          <t>⑤</t>
        </is>
      </c>
      <c r="C43" s="84" t="inlineStr">
        <is>
          <t>社内事務・管理</t>
        </is>
      </c>
      <c r="D43" s="73" t="n"/>
      <c r="E43" s="73" t="n"/>
      <c r="F43" s="73" t="n"/>
      <c r="G43" s="73" t="n"/>
    </row>
    <row r="44" ht="18" customHeight="1" thickTop="1">
      <c r="B44" s="74" t="inlineStr">
        <is>
          <t>⑥</t>
        </is>
      </c>
      <c r="C44" s="85" t="inlineStr">
        <is>
          <t>定常・移動・休憩</t>
        </is>
      </c>
      <c r="D44" s="77" t="n"/>
      <c r="E44" s="77" t="n"/>
      <c r="F44" s="77" t="n"/>
      <c r="G44" s="77" t="n"/>
    </row>
    <row r="45" ht="20" customHeight="1">
      <c r="B45" s="86" t="inlineStr">
        <is>
          <t>合計</t>
        </is>
      </c>
      <c r="C45" s="86" t="n"/>
      <c r="D45" s="86" t="n"/>
      <c r="E45" s="86" t="n"/>
      <c r="F45" s="86" t="n"/>
      <c r="G45" s="86" t="n"/>
    </row>
    <row r="46" ht="24" customHeight="1"/>
  </sheetData>
  <mergeCells count="17">
    <mergeCell ref="B31:B43"/>
    <mergeCell ref="B2:G2"/>
    <mergeCell ref="E10:G10"/>
    <mergeCell ref="R3:T3"/>
    <mergeCell ref="E11:G11"/>
    <mergeCell ref="C46:G46"/>
    <mergeCell ref="B14:G14"/>
    <mergeCell ref="B37:G37"/>
    <mergeCell ref="E8:G8"/>
    <mergeCell ref="C44:G44"/>
    <mergeCell ref="B4:G4"/>
    <mergeCell ref="E9:G9"/>
    <mergeCell ref="C45:G45"/>
    <mergeCell ref="B3:B14"/>
    <mergeCell ref="B15:B30"/>
    <mergeCell ref="E7:G7"/>
    <mergeCell ref="E6:G6"/>
  </mergeCells>
  <dataValidations count="1">
    <dataValidation sqref="G3:G43" showDropDown="0" showInputMessage="1" showErrorMessage="1" allowBlank="1" type="list">
      <formula1>"月,週,日"</formula1>
    </dataValidation>
  </dataValidation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4">
    <outlinePr summaryBelow="1" summaryRight="1"/>
    <pageSetUpPr/>
  </sheetPr>
  <dimension ref="A1:U47"/>
  <sheetViews>
    <sheetView topLeftCell="C1" zoomScaleNormal="100" workbookViewId="0">
      <selection activeCell="C1" sqref="C1"/>
    </sheetView>
  </sheetViews>
  <sheetFormatPr baseColWidth="8" defaultColWidth="8.875" defaultRowHeight="18.75"/>
  <cols>
    <col width="13.375" customWidth="1" min="1" max="1"/>
    <col width="17.875" customWidth="1" min="2" max="2"/>
    <col width="14.625" customWidth="1" min="3" max="3"/>
    <col width="35" customWidth="1" min="4" max="4"/>
    <col width="6.125" customWidth="1" min="5" max="5"/>
    <col width="2.125" customWidth="1" min="6" max="6"/>
    <col width="5.5" customWidth="1" min="7" max="7"/>
    <col width="11.625" customWidth="1" min="8" max="8"/>
    <col width="12.125" customWidth="1" min="9" max="9"/>
    <col width="9.625" customWidth="1" min="10" max="10"/>
    <col width="23.5" customWidth="1" min="11" max="11"/>
    <col width="7.125" customWidth="1" min="18" max="20"/>
  </cols>
  <sheetData>
    <row r="1">
      <c r="E1" s="1" t="n"/>
      <c r="F1" s="1" t="n"/>
      <c r="G1" s="1" t="n"/>
      <c r="R1" s="1" t="n"/>
      <c r="S1" s="1" t="n"/>
      <c r="T1" s="1" t="n"/>
    </row>
    <row r="2" ht="56.25" customHeight="1">
      <c r="C2" s="2" t="n">
        <v>45611</v>
      </c>
      <c r="D2" s="3" t="inlineStr">
        <is>
          <t>業務内容・・・（例）</t>
        </is>
      </c>
      <c r="E2" s="4" t="inlineStr">
        <is>
          <t>業務
時間
（h）</t>
        </is>
      </c>
      <c r="F2" s="5" t="inlineStr">
        <is>
          <t>/</t>
        </is>
      </c>
      <c r="G2" s="6" t="inlineStr">
        <is>
          <t>単位</t>
        </is>
      </c>
      <c r="H2" s="7" t="inlineStr">
        <is>
          <t>１ヵ月あたりの時間
(h）</t>
        </is>
      </c>
      <c r="I2" s="8" t="n"/>
      <c r="R2" s="1" t="n"/>
      <c r="S2" s="1" t="n"/>
      <c r="T2" s="1" t="n"/>
    </row>
    <row r="3">
      <c r="B3" s="40" t="inlineStr">
        <is>
          <t>削減可能業務</t>
        </is>
      </c>
      <c r="C3" s="9" t="inlineStr">
        <is>
          <t>非定常業務</t>
        </is>
      </c>
      <c r="D3" s="10" t="inlineStr">
        <is>
          <t>品質確認</t>
        </is>
      </c>
      <c r="E3" s="11" t="n">
        <v>0.75</v>
      </c>
      <c r="F3" s="12" t="inlineStr">
        <is>
          <t>/</t>
        </is>
      </c>
      <c r="G3" s="13" t="inlineStr">
        <is>
          <t>月</t>
        </is>
      </c>
      <c r="H3" s="41">
        <f>I3*E3</f>
        <v/>
      </c>
      <c r="I3" s="15">
        <f>IF(G3="月",$R$16,IF(G3="週",$S$16,$T$16))</f>
        <v/>
      </c>
    </row>
    <row r="4" ht="19.5" customHeight="1" thickBot="1">
      <c r="B4" s="87" t="n"/>
      <c r="C4" s="9" t="inlineStr">
        <is>
          <t>非定常業務</t>
        </is>
      </c>
      <c r="D4" s="10" t="inlineStr">
        <is>
          <t>手直し</t>
        </is>
      </c>
      <c r="E4" s="11" t="n">
        <v>0.86</v>
      </c>
      <c r="F4" s="12" t="inlineStr">
        <is>
          <t>/</t>
        </is>
      </c>
      <c r="G4" s="13" t="inlineStr">
        <is>
          <t>月</t>
        </is>
      </c>
      <c r="H4" s="41">
        <f>I4*E4</f>
        <v/>
      </c>
      <c r="I4" s="15">
        <f>IF(G4="月",$R$16,IF(G4="週",$S$16,$T$16))</f>
        <v/>
      </c>
    </row>
    <row r="5" hidden="1" ht="19.5" customHeight="1" thickBot="1">
      <c r="B5" s="87" t="n"/>
      <c r="C5" s="9" t="inlineStr">
        <is>
          <t>非定常業務</t>
        </is>
      </c>
      <c r="D5" s="10" t="n"/>
      <c r="E5" s="11" t="n"/>
      <c r="F5" s="12" t="inlineStr">
        <is>
          <t>/</t>
        </is>
      </c>
      <c r="G5" s="13" t="inlineStr">
        <is>
          <t>月</t>
        </is>
      </c>
      <c r="H5" s="41">
        <f>I5*E5</f>
        <v/>
      </c>
      <c r="I5" s="15">
        <f>IF(G5="月",$R$16,IF(G5="週",$S$16,$T$16))</f>
        <v/>
      </c>
    </row>
    <row r="6" hidden="1" ht="19.5" customHeight="1" thickBot="1">
      <c r="B6" s="87" t="n"/>
      <c r="C6" s="9" t="inlineStr">
        <is>
          <t>非定常業務</t>
        </is>
      </c>
      <c r="D6" s="10" t="n"/>
      <c r="E6" s="11" t="n"/>
      <c r="F6" s="12" t="inlineStr">
        <is>
          <t>/</t>
        </is>
      </c>
      <c r="G6" s="13" t="inlineStr">
        <is>
          <t>月</t>
        </is>
      </c>
      <c r="H6" s="41">
        <f>I6*E6</f>
        <v/>
      </c>
      <c r="I6" s="15">
        <f>IF(G6="月",$R$16,IF(G6="週",$S$16,$T$16))</f>
        <v/>
      </c>
    </row>
    <row r="7" hidden="1" ht="19.5" customHeight="1" thickBot="1">
      <c r="B7" s="87" t="n"/>
      <c r="C7" s="9" t="inlineStr">
        <is>
          <t>非定常業務</t>
        </is>
      </c>
      <c r="D7" s="10" t="n"/>
      <c r="E7" s="11" t="n"/>
      <c r="F7" s="12" t="inlineStr">
        <is>
          <t>/</t>
        </is>
      </c>
      <c r="G7" s="13" t="inlineStr">
        <is>
          <t>月</t>
        </is>
      </c>
      <c r="H7" s="41">
        <f>I7*E7</f>
        <v/>
      </c>
      <c r="I7" s="15">
        <f>IF(G7="月",$R$16,IF(G7="週",$S$16,$T$16))</f>
        <v/>
      </c>
    </row>
    <row r="8" hidden="1" ht="19.5" customHeight="1" thickBot="1">
      <c r="B8" s="87" t="n"/>
      <c r="C8" s="9" t="inlineStr">
        <is>
          <t>非定常業務</t>
        </is>
      </c>
      <c r="D8" s="10" t="n"/>
      <c r="E8" s="11" t="n"/>
      <c r="F8" s="12" t="inlineStr">
        <is>
          <t>/</t>
        </is>
      </c>
      <c r="G8" s="13" t="inlineStr">
        <is>
          <t>月</t>
        </is>
      </c>
      <c r="H8" s="41">
        <f>I8*E8</f>
        <v/>
      </c>
      <c r="I8" s="15">
        <f>IF(G8="月",$R$16,IF(G8="週",$S$16,$T$16))</f>
        <v/>
      </c>
      <c r="R8" s="1" t="n"/>
      <c r="S8" s="1" t="n"/>
      <c r="T8" s="1" t="n"/>
    </row>
    <row r="9" hidden="1" ht="19.5" customHeight="1" thickBot="1">
      <c r="B9" s="87" t="n"/>
      <c r="C9" s="9" t="inlineStr">
        <is>
          <t>非定常業務</t>
        </is>
      </c>
      <c r="D9" s="10" t="n"/>
      <c r="E9" s="11" t="n"/>
      <c r="F9" s="12" t="inlineStr">
        <is>
          <t>/</t>
        </is>
      </c>
      <c r="G9" s="13" t="inlineStr">
        <is>
          <t>月</t>
        </is>
      </c>
      <c r="H9" s="41">
        <f>I9*E9</f>
        <v/>
      </c>
      <c r="I9" s="15">
        <f>IF(G9="月",$R$16,IF(G9="週",$S$16,$T$16))</f>
        <v/>
      </c>
      <c r="R9" s="1" t="n"/>
      <c r="S9" s="1" t="n"/>
      <c r="T9" s="1" t="n"/>
    </row>
    <row r="10" hidden="1" ht="19.5" customHeight="1" thickBot="1">
      <c r="B10" s="87" t="n"/>
      <c r="C10" s="9" t="inlineStr">
        <is>
          <t>非定常業務</t>
        </is>
      </c>
      <c r="D10" s="10" t="n"/>
      <c r="E10" s="16" t="n"/>
      <c r="F10" s="17" t="inlineStr">
        <is>
          <t>/</t>
        </is>
      </c>
      <c r="G10" s="13" t="inlineStr">
        <is>
          <t>月</t>
        </is>
      </c>
      <c r="H10" s="41">
        <f>I10*E10</f>
        <v/>
      </c>
      <c r="I10" s="15">
        <f>IF(G10="月",$R$16,IF(G10="週",$S$16,$T$16))</f>
        <v/>
      </c>
      <c r="R10" s="1" t="n"/>
      <c r="S10" s="1" t="n"/>
      <c r="T10" s="1" t="n"/>
    </row>
    <row r="11" hidden="1" ht="19.5" customHeight="1" thickBot="1">
      <c r="B11" s="87" t="n"/>
      <c r="C11" s="9" t="inlineStr">
        <is>
          <t>非定常業務</t>
        </is>
      </c>
      <c r="D11" s="10" t="n"/>
      <c r="E11" s="11" t="n"/>
      <c r="F11" s="12" t="inlineStr">
        <is>
          <t>/</t>
        </is>
      </c>
      <c r="G11" s="13" t="inlineStr">
        <is>
          <t>月</t>
        </is>
      </c>
      <c r="H11" s="41">
        <f>I11*E11</f>
        <v/>
      </c>
      <c r="I11" s="15">
        <f>IF(G11="月",$R$16,IF(G11="週",$S$16,$T$16))</f>
        <v/>
      </c>
      <c r="R11" s="1" t="n"/>
      <c r="S11" s="1" t="n"/>
      <c r="T11" s="1" t="n"/>
    </row>
    <row r="12" hidden="1" ht="19.5" customHeight="1" thickBot="1">
      <c r="B12" s="87" t="n"/>
      <c r="C12" s="9" t="inlineStr">
        <is>
          <t>非定常業務</t>
        </is>
      </c>
      <c r="D12" s="10" t="n"/>
      <c r="E12" s="11" t="n"/>
      <c r="F12" s="12" t="inlineStr">
        <is>
          <t>/</t>
        </is>
      </c>
      <c r="G12" s="13" t="inlineStr">
        <is>
          <t>月</t>
        </is>
      </c>
      <c r="H12" s="41">
        <f>I12*E12</f>
        <v/>
      </c>
      <c r="I12" s="15">
        <f>IF(G12="月",$R$16,IF(G12="週",$S$16,$T$16))</f>
        <v/>
      </c>
      <c r="R12" s="1" t="n"/>
      <c r="S12" s="1" t="n"/>
      <c r="T12" s="1" t="n"/>
    </row>
    <row r="13" hidden="1" ht="19.5" customHeight="1" thickBot="1">
      <c r="B13" s="87" t="n"/>
      <c r="C13" s="9" t="inlineStr">
        <is>
          <t>非定常業務</t>
        </is>
      </c>
      <c r="D13" s="10" t="n"/>
      <c r="E13" s="11" t="n"/>
      <c r="F13" s="12" t="inlineStr">
        <is>
          <t>/</t>
        </is>
      </c>
      <c r="G13" s="13" t="inlineStr">
        <is>
          <t>月</t>
        </is>
      </c>
      <c r="H13" s="41">
        <f>I13*E13</f>
        <v/>
      </c>
      <c r="I13" s="15">
        <f>IF(G13="月",$R$16,IF(G13="週",$S$16,$T$16))</f>
        <v/>
      </c>
      <c r="R13" s="1" t="n"/>
      <c r="S13" s="1" t="n"/>
      <c r="T13" s="1" t="n"/>
    </row>
    <row r="14" hidden="1" ht="19.5" customHeight="1" thickBot="1">
      <c r="B14" s="88" t="n"/>
      <c r="C14" s="9" t="n"/>
      <c r="D14" s="10" t="n"/>
      <c r="E14" s="11" t="n"/>
      <c r="F14" s="12" t="inlineStr">
        <is>
          <t>/</t>
        </is>
      </c>
      <c r="G14" s="13" t="inlineStr">
        <is>
          <t>月</t>
        </is>
      </c>
      <c r="H14" s="41">
        <f>I14*E14</f>
        <v/>
      </c>
      <c r="I14" s="15">
        <f>IF(G14="月",$R$16,IF(G14="週",$S$16,$T$16))</f>
        <v/>
      </c>
      <c r="R14" s="1" t="n"/>
      <c r="S14" s="1" t="n"/>
      <c r="T14" s="1" t="n"/>
    </row>
    <row r="15" ht="19.5" customHeight="1" thickBot="1">
      <c r="B15" s="42" t="inlineStr">
        <is>
          <t>付帯業務
ノンコア業務</t>
        </is>
      </c>
      <c r="C15" s="18" t="inlineStr">
        <is>
          <t>主要外業務</t>
        </is>
      </c>
      <c r="D15" s="10" t="inlineStr">
        <is>
          <t>朝礼ラジオ体操挨拶</t>
        </is>
      </c>
      <c r="E15" s="11" t="n">
        <v>0.16</v>
      </c>
      <c r="F15" s="12" t="inlineStr">
        <is>
          <t>/</t>
        </is>
      </c>
      <c r="G15" s="13" t="inlineStr">
        <is>
          <t>月</t>
        </is>
      </c>
      <c r="H15" s="43">
        <f>I15*E15</f>
        <v/>
      </c>
      <c r="I15" s="15">
        <f>IF(G15="月",$R$16,IF(G15="週",$S$16,$T$16))</f>
        <v/>
      </c>
      <c r="K15" s="20" t="inlineStr">
        <is>
          <t>削減可能業務</t>
        </is>
      </c>
      <c r="L15">
        <f>SUM(H3:H14)</f>
        <v/>
      </c>
      <c r="R15" s="44" t="inlineStr">
        <is>
          <t>掛け数</t>
        </is>
      </c>
      <c r="S15" s="89" t="n"/>
      <c r="T15" s="90" t="n"/>
    </row>
    <row r="16" ht="19.5" customHeight="1" thickBot="1">
      <c r="B16" s="87" t="n"/>
      <c r="C16" s="18" t="inlineStr">
        <is>
          <t>主要外業務</t>
        </is>
      </c>
      <c r="D16" s="10" t="inlineStr">
        <is>
          <t>現場（作業）</t>
        </is>
      </c>
      <c r="E16" s="11" t="n">
        <v>4.76</v>
      </c>
      <c r="F16" s="12" t="inlineStr">
        <is>
          <t>/</t>
        </is>
      </c>
      <c r="G16" s="13" t="inlineStr">
        <is>
          <t>月</t>
        </is>
      </c>
      <c r="H16" s="43">
        <f>I16*E16</f>
        <v/>
      </c>
      <c r="I16" s="15">
        <f>IF(G16="月",$R$16,IF(G16="週",$S$16,$T$16))</f>
        <v/>
      </c>
      <c r="K16" s="21" t="inlineStr">
        <is>
          <t xml:space="preserve">付帯業務　</t>
        </is>
      </c>
      <c r="L16">
        <f>SUM(H15:H30)</f>
        <v/>
      </c>
      <c r="R16" s="22" t="n">
        <v>1</v>
      </c>
      <c r="S16" s="23" t="n">
        <v>4</v>
      </c>
      <c r="T16" s="24" t="n">
        <v>20</v>
      </c>
    </row>
    <row r="17">
      <c r="B17" s="87" t="n"/>
      <c r="C17" s="18" t="inlineStr">
        <is>
          <t>主要外業務</t>
        </is>
      </c>
      <c r="D17" s="10" t="inlineStr">
        <is>
          <t>トイレ掃除</t>
        </is>
      </c>
      <c r="E17" s="11" t="n">
        <v>0.08</v>
      </c>
      <c r="F17" s="12" t="inlineStr">
        <is>
          <t>/</t>
        </is>
      </c>
      <c r="G17" s="13" t="inlineStr">
        <is>
          <t>月</t>
        </is>
      </c>
      <c r="H17" s="43">
        <f>I17*E17</f>
        <v/>
      </c>
      <c r="I17" s="15">
        <f>IF(G17="月",$R$16,IF(G17="週",$S$16,$T$16))</f>
        <v/>
      </c>
      <c r="K17" s="25">
        <f>C31</f>
        <v/>
      </c>
      <c r="L17">
        <f>SUM(H31:H41)</f>
        <v/>
      </c>
      <c r="R17" s="1" t="n"/>
      <c r="S17" s="1" t="n"/>
      <c r="T17" s="1" t="n"/>
    </row>
    <row r="18">
      <c r="B18" s="87" t="n"/>
      <c r="C18" s="18" t="inlineStr">
        <is>
          <t>主要外業務</t>
        </is>
      </c>
      <c r="D18" s="10" t="inlineStr">
        <is>
          <t>残業確認</t>
        </is>
      </c>
      <c r="E18" s="11" t="n">
        <v>0.16</v>
      </c>
      <c r="F18" s="12" t="inlineStr">
        <is>
          <t>/</t>
        </is>
      </c>
      <c r="G18" s="13" t="inlineStr">
        <is>
          <t>月</t>
        </is>
      </c>
      <c r="H18" s="43">
        <f>I18*E18</f>
        <v/>
      </c>
      <c r="I18" s="15">
        <f>IF(G18="月",$R$16,IF(G18="週",$S$16,$T$16))</f>
        <v/>
      </c>
      <c r="R18" t="inlineStr">
        <is>
          <t>毎日×20　⇒　１ヵ月あたり</t>
        </is>
      </c>
      <c r="S18" s="1" t="n"/>
      <c r="T18" s="1" t="n"/>
    </row>
    <row r="19">
      <c r="B19" s="87" t="n"/>
      <c r="C19" s="18" t="inlineStr">
        <is>
          <t>主要外業務</t>
        </is>
      </c>
      <c r="D19" s="26" t="inlineStr">
        <is>
          <t>資料まとめ</t>
        </is>
      </c>
      <c r="E19" s="11" t="n">
        <v>0.16</v>
      </c>
      <c r="F19" s="12" t="inlineStr">
        <is>
          <t>/</t>
        </is>
      </c>
      <c r="G19" s="13" t="inlineStr">
        <is>
          <t>月</t>
        </is>
      </c>
      <c r="H19" s="43">
        <f>I19*E19</f>
        <v/>
      </c>
      <c r="I19" s="15">
        <f>IF(G19="月",$R$16,IF(G19="週",$S$16,$T$16))</f>
        <v/>
      </c>
      <c r="R19" t="inlineStr">
        <is>
          <t>１週間あたりk×4  ⇒　１ヵ月あたり</t>
        </is>
      </c>
      <c r="S19" s="1" t="n"/>
      <c r="T19" s="1" t="n"/>
    </row>
    <row r="20">
      <c r="B20" s="87" t="n"/>
      <c r="C20" s="18" t="inlineStr">
        <is>
          <t>主要外業務</t>
        </is>
      </c>
      <c r="D20" s="26" t="inlineStr">
        <is>
          <t>回覧チェック</t>
        </is>
      </c>
      <c r="E20" s="11" t="n">
        <v>0.08</v>
      </c>
      <c r="F20" s="12" t="inlineStr">
        <is>
          <t>/</t>
        </is>
      </c>
      <c r="G20" s="13" t="inlineStr">
        <is>
          <t>月</t>
        </is>
      </c>
      <c r="H20" s="43">
        <f>I20*E20</f>
        <v/>
      </c>
      <c r="I20" s="15">
        <f>IF(G20="月",$R$16,IF(G20="週",$S$16,$T$16))</f>
        <v/>
      </c>
      <c r="R20" s="1" t="n"/>
      <c r="S20" s="1" t="n"/>
      <c r="T20" s="1" t="n"/>
    </row>
    <row r="21">
      <c r="B21" s="87" t="n"/>
      <c r="C21" s="18" t="inlineStr">
        <is>
          <t>主要外業務</t>
        </is>
      </c>
      <c r="D21" s="26" t="inlineStr">
        <is>
          <t>メールチェック</t>
        </is>
      </c>
      <c r="E21" s="16" t="n">
        <v>0.08</v>
      </c>
      <c r="F21" s="12" t="inlineStr">
        <is>
          <t>/</t>
        </is>
      </c>
      <c r="G21" s="13" t="inlineStr">
        <is>
          <t>月</t>
        </is>
      </c>
      <c r="H21" s="43">
        <f>I21*E21</f>
        <v/>
      </c>
      <c r="I21" s="15">
        <f>IF(G21="月",$R$16,IF(G21="週",$S$16,$T$16))</f>
        <v/>
      </c>
      <c r="R21" s="1" t="n"/>
      <c r="S21" s="1" t="n"/>
      <c r="T21" s="1" t="n"/>
    </row>
    <row r="22" hidden="1">
      <c r="B22" s="87" t="n"/>
      <c r="C22" s="18" t="inlineStr">
        <is>
          <t>主要外業務</t>
        </is>
      </c>
      <c r="D22" s="26" t="n"/>
      <c r="E22" s="16" t="n"/>
      <c r="F22" s="12" t="inlineStr">
        <is>
          <t>/</t>
        </is>
      </c>
      <c r="G22" s="13" t="inlineStr">
        <is>
          <t>月</t>
        </is>
      </c>
      <c r="H22" s="43">
        <f>I22*E22</f>
        <v/>
      </c>
      <c r="I22" s="15">
        <f>IF(G22="月",$R$16,IF(G22="週",$S$16,$T$16))</f>
        <v/>
      </c>
      <c r="R22" s="1" t="n"/>
      <c r="S22" s="1" t="n"/>
      <c r="T22" s="1" t="n"/>
    </row>
    <row r="23" hidden="1">
      <c r="B23" s="87" t="n"/>
      <c r="C23" s="18" t="inlineStr">
        <is>
          <t>主要外業務</t>
        </is>
      </c>
      <c r="D23" s="26" t="n"/>
      <c r="E23" s="16" t="n"/>
      <c r="F23" s="12" t="inlineStr">
        <is>
          <t>/</t>
        </is>
      </c>
      <c r="G23" s="13" t="inlineStr">
        <is>
          <t>月</t>
        </is>
      </c>
      <c r="H23" s="43">
        <f>I23*E23</f>
        <v/>
      </c>
      <c r="I23" s="15">
        <f>IF(G23="月",$R$16,IF(G23="週",$S$16,$T$16))</f>
        <v/>
      </c>
      <c r="R23" s="1" t="n"/>
      <c r="S23" s="1" t="n"/>
      <c r="T23" s="1" t="n"/>
    </row>
    <row r="24" hidden="1">
      <c r="B24" s="87" t="n"/>
      <c r="C24" s="18" t="inlineStr">
        <is>
          <t>主要外業務</t>
        </is>
      </c>
      <c r="D24" s="26" t="n"/>
      <c r="E24" s="16" t="n"/>
      <c r="F24" s="12" t="inlineStr">
        <is>
          <t>/</t>
        </is>
      </c>
      <c r="G24" s="13" t="inlineStr">
        <is>
          <t>月</t>
        </is>
      </c>
      <c r="H24" s="43">
        <f>I24*E24</f>
        <v/>
      </c>
      <c r="I24" s="15">
        <f>IF(G24="月",$R$16,IF(G24="週",$S$16,$T$16))</f>
        <v/>
      </c>
      <c r="R24" s="1" t="n"/>
      <c r="S24" s="1" t="n"/>
      <c r="T24" s="1" t="n"/>
    </row>
    <row r="25" hidden="1">
      <c r="B25" s="87" t="n"/>
      <c r="C25" s="18" t="inlineStr">
        <is>
          <t>主要外業務</t>
        </is>
      </c>
      <c r="D25" s="26" t="n"/>
      <c r="E25" s="16" t="n"/>
      <c r="F25" s="12" t="inlineStr">
        <is>
          <t>/</t>
        </is>
      </c>
      <c r="G25" s="13" t="inlineStr">
        <is>
          <t>月</t>
        </is>
      </c>
      <c r="H25" s="43">
        <f>I25*E25</f>
        <v/>
      </c>
      <c r="I25" s="15">
        <f>IF(G25="月",$R$16,IF(G25="週",$S$16,$T$16))</f>
        <v/>
      </c>
      <c r="R25" s="1" t="n"/>
      <c r="S25" s="1" t="n"/>
      <c r="T25" s="1" t="n"/>
    </row>
    <row r="26" hidden="1">
      <c r="B26" s="87" t="n"/>
      <c r="C26" s="18" t="inlineStr">
        <is>
          <t>主要外業務</t>
        </is>
      </c>
      <c r="D26" s="26" t="n"/>
      <c r="E26" s="16" t="n"/>
      <c r="F26" s="12" t="inlineStr">
        <is>
          <t>/</t>
        </is>
      </c>
      <c r="G26" s="13" t="inlineStr">
        <is>
          <t>月</t>
        </is>
      </c>
      <c r="H26" s="43">
        <f>I26*E26</f>
        <v/>
      </c>
      <c r="I26" s="15">
        <f>IF(G26="月",$R$16,IF(G26="週",$S$16,$T$16))</f>
        <v/>
      </c>
      <c r="R26" s="1" t="n"/>
      <c r="S26" s="1" t="n"/>
      <c r="T26" s="1" t="n"/>
    </row>
    <row r="27" hidden="1">
      <c r="B27" s="87" t="n"/>
      <c r="C27" s="18" t="inlineStr">
        <is>
          <t>主要外業務</t>
        </is>
      </c>
      <c r="D27" s="10" t="n"/>
      <c r="E27" s="11" t="n"/>
      <c r="F27" s="12" t="inlineStr">
        <is>
          <t>/</t>
        </is>
      </c>
      <c r="G27" s="13" t="inlineStr">
        <is>
          <t>月</t>
        </is>
      </c>
      <c r="H27" s="43">
        <f>I27*E27</f>
        <v/>
      </c>
      <c r="I27" s="15">
        <f>IF(G27="月",$R$16,IF(G27="週",$S$16,$T$16))</f>
        <v/>
      </c>
      <c r="R27" s="1" t="n"/>
      <c r="S27" s="1" t="n"/>
      <c r="T27" s="1" t="n"/>
    </row>
    <row r="28" hidden="1">
      <c r="B28" s="87" t="n"/>
      <c r="C28" s="18" t="inlineStr">
        <is>
          <t>主要外業務</t>
        </is>
      </c>
      <c r="D28" s="27" t="n"/>
      <c r="E28" s="28" t="n"/>
      <c r="F28" s="12" t="inlineStr">
        <is>
          <t>/</t>
        </is>
      </c>
      <c r="G28" s="13" t="inlineStr">
        <is>
          <t>月</t>
        </is>
      </c>
      <c r="H28" s="43">
        <f>I28*E28</f>
        <v/>
      </c>
      <c r="I28" s="15">
        <f>IF(G28="月",$R$16,IF(G28="週",$S$16,$T$16))</f>
        <v/>
      </c>
      <c r="R28" s="1" t="n"/>
      <c r="S28" s="1" t="n"/>
      <c r="T28" s="1" t="n"/>
    </row>
    <row r="29" hidden="1">
      <c r="B29" s="87" t="n"/>
      <c r="C29" s="18" t="inlineStr">
        <is>
          <t>主要外業務</t>
        </is>
      </c>
      <c r="D29" s="26" t="n"/>
      <c r="E29" s="16" t="n"/>
      <c r="F29" s="12" t="inlineStr">
        <is>
          <t>/</t>
        </is>
      </c>
      <c r="G29" s="13" t="inlineStr">
        <is>
          <t>月</t>
        </is>
      </c>
      <c r="H29" s="43">
        <f>I29*E29</f>
        <v/>
      </c>
      <c r="I29" s="15">
        <f>IF(G29="月",$R$16,IF(G29="週",$S$16,$T$16))</f>
        <v/>
      </c>
      <c r="R29" s="1" t="n"/>
      <c r="S29" s="1" t="n"/>
      <c r="T29" s="1" t="n"/>
    </row>
    <row r="30" hidden="1">
      <c r="B30" s="88" t="n"/>
      <c r="C30" s="18" t="n"/>
      <c r="D30" s="26" t="n"/>
      <c r="E30" s="16" t="n"/>
      <c r="F30" s="12" t="inlineStr">
        <is>
          <t>/</t>
        </is>
      </c>
      <c r="G30" s="13" t="inlineStr">
        <is>
          <t>月</t>
        </is>
      </c>
      <c r="H30" s="43">
        <f>I30*E30</f>
        <v/>
      </c>
      <c r="I30" s="15">
        <f>IF(G30="月",$R$16,IF(G30="週",$S$16,$T$16))</f>
        <v/>
      </c>
      <c r="R30" s="1" t="n"/>
      <c r="S30" s="1" t="n"/>
      <c r="T30" s="1" t="n"/>
    </row>
    <row r="31">
      <c r="B31" s="47" t="inlineStr">
        <is>
          <t>主体業務
コア業務</t>
        </is>
      </c>
      <c r="C31" s="29" t="inlineStr">
        <is>
          <t>主体業務</t>
        </is>
      </c>
      <c r="D31" s="10" t="inlineStr">
        <is>
          <t>生産表</t>
        </is>
      </c>
      <c r="E31" s="16" t="n">
        <v>0.26</v>
      </c>
      <c r="F31" s="17" t="inlineStr">
        <is>
          <t>/</t>
        </is>
      </c>
      <c r="G31" s="13" t="inlineStr">
        <is>
          <t>月</t>
        </is>
      </c>
      <c r="H31" s="48">
        <f>I31*E31</f>
        <v/>
      </c>
      <c r="I31" s="15">
        <f>IF(G31="月",$R$16,IF(G31="週",$S$16,$T$16))</f>
        <v/>
      </c>
      <c r="R31" s="1" t="n"/>
      <c r="S31" s="1" t="n"/>
      <c r="T31" s="1" t="n"/>
    </row>
    <row r="32">
      <c r="B32" s="87" t="n"/>
      <c r="C32" s="29" t="inlineStr">
        <is>
          <t>主体業務</t>
        </is>
      </c>
      <c r="D32" s="10" t="inlineStr">
        <is>
          <t>標準作業書</t>
        </is>
      </c>
      <c r="E32" s="11" t="n">
        <v>1.95</v>
      </c>
      <c r="F32" s="12" t="inlineStr">
        <is>
          <t>/</t>
        </is>
      </c>
      <c r="G32" s="13" t="inlineStr">
        <is>
          <t>月</t>
        </is>
      </c>
      <c r="H32" s="48">
        <f>I32*E32</f>
        <v/>
      </c>
      <c r="I32" s="15">
        <f>IF(G32="月",$R$16,IF(G32="週",$S$16,$T$16))</f>
        <v/>
      </c>
      <c r="R32" s="1" t="n"/>
      <c r="S32" s="1" t="n"/>
      <c r="T32" s="1" t="n"/>
    </row>
    <row r="33" ht="19.5" customHeight="1" thickBot="1">
      <c r="B33" s="87" t="n"/>
      <c r="C33" s="29" t="inlineStr">
        <is>
          <t>主体業務</t>
        </is>
      </c>
      <c r="D33" s="10" t="inlineStr">
        <is>
          <t>治具出し</t>
        </is>
      </c>
      <c r="E33" s="11" t="n">
        <v>0.31</v>
      </c>
      <c r="F33" s="12" t="inlineStr">
        <is>
          <t>/</t>
        </is>
      </c>
      <c r="G33" s="13" t="inlineStr">
        <is>
          <t>月</t>
        </is>
      </c>
      <c r="H33" s="48">
        <f>I33*E33</f>
        <v/>
      </c>
      <c r="I33" s="15">
        <f>IF(G33="月",$R$16,IF(G33="週",$S$16,$T$16))</f>
        <v/>
      </c>
      <c r="R33" s="1" t="n"/>
      <c r="S33" s="1" t="n"/>
      <c r="T33" s="1" t="n"/>
    </row>
    <row r="34" hidden="1" ht="19.5" customHeight="1" thickBot="1">
      <c r="B34" s="87" t="n"/>
      <c r="C34" s="29" t="inlineStr">
        <is>
          <t>主体業務</t>
        </is>
      </c>
      <c r="D34" s="10" t="n"/>
      <c r="E34" s="11" t="n"/>
      <c r="F34" s="12" t="inlineStr">
        <is>
          <t>/</t>
        </is>
      </c>
      <c r="G34" s="13" t="inlineStr">
        <is>
          <t>月</t>
        </is>
      </c>
      <c r="H34" s="48">
        <f>I34*E34</f>
        <v/>
      </c>
      <c r="I34" s="15">
        <f>IF(G34="月",$R$16,IF(G34="週",$S$16,$T$16))</f>
        <v/>
      </c>
      <c r="R34" s="1" t="n"/>
      <c r="S34" s="1" t="n"/>
      <c r="T34" s="1" t="n"/>
    </row>
    <row r="35" hidden="1" ht="19.5" customHeight="1" thickBot="1">
      <c r="B35" s="87" t="n"/>
      <c r="C35" s="29" t="inlineStr">
        <is>
          <t>主体業務</t>
        </is>
      </c>
      <c r="D35" s="10" t="n"/>
      <c r="E35" s="11" t="n"/>
      <c r="F35" s="12" t="inlineStr">
        <is>
          <t>/</t>
        </is>
      </c>
      <c r="G35" s="13" t="inlineStr">
        <is>
          <t>月</t>
        </is>
      </c>
      <c r="H35" s="48">
        <f>I35*E35</f>
        <v/>
      </c>
      <c r="I35" s="15">
        <f>IF(G35="月",$R$16,IF(G35="週",$S$16,$T$16))</f>
        <v/>
      </c>
      <c r="R35" s="1" t="n"/>
      <c r="S35" s="1" t="n"/>
      <c r="T35" s="1" t="n"/>
    </row>
    <row r="36" hidden="1" ht="19.5" customHeight="1" thickBot="1">
      <c r="B36" s="87" t="n"/>
      <c r="C36" s="29" t="inlineStr">
        <is>
          <t>主体業務</t>
        </is>
      </c>
      <c r="D36" s="10" t="n"/>
      <c r="E36" s="11" t="n"/>
      <c r="F36" s="12" t="inlineStr">
        <is>
          <t>/</t>
        </is>
      </c>
      <c r="G36" s="13" t="inlineStr">
        <is>
          <t>月</t>
        </is>
      </c>
      <c r="H36" s="48">
        <f>I36*E36</f>
        <v/>
      </c>
      <c r="I36" s="15">
        <f>IF(G36="月",$R$16,IF(G36="週",$S$16,$T$16))</f>
        <v/>
      </c>
      <c r="R36" s="1" t="n"/>
      <c r="S36" s="1" t="n"/>
      <c r="T36" s="1" t="n"/>
    </row>
    <row r="37" hidden="1" ht="19.5" customHeight="1" thickBot="1">
      <c r="B37" s="87" t="n"/>
      <c r="C37" s="29" t="inlineStr">
        <is>
          <t>主体業務</t>
        </is>
      </c>
      <c r="D37" s="10" t="n"/>
      <c r="E37" s="11" t="n"/>
      <c r="F37" s="12" t="inlineStr">
        <is>
          <t>/</t>
        </is>
      </c>
      <c r="G37" s="13" t="inlineStr">
        <is>
          <t>月</t>
        </is>
      </c>
      <c r="H37" s="48">
        <f>I37*E37</f>
        <v/>
      </c>
      <c r="I37" s="15">
        <f>IF(G37="月",$R$16,IF(G37="週",$S$16,$T$16))</f>
        <v/>
      </c>
      <c r="R37" s="1" t="n"/>
      <c r="S37" s="1" t="n"/>
      <c r="T37" s="1" t="n"/>
    </row>
    <row r="38" hidden="1" ht="19.5" customHeight="1" thickBot="1">
      <c r="B38" s="87" t="n"/>
      <c r="C38" s="29" t="inlineStr">
        <is>
          <t>主体業務</t>
        </is>
      </c>
      <c r="D38" s="27" t="n"/>
      <c r="E38" s="28" t="n"/>
      <c r="F38" s="12" t="inlineStr">
        <is>
          <t>/</t>
        </is>
      </c>
      <c r="G38" s="13" t="inlineStr">
        <is>
          <t>月</t>
        </is>
      </c>
      <c r="H38" s="48">
        <f>I38*E38</f>
        <v/>
      </c>
      <c r="I38" s="15">
        <f>IF(G38="月",$R$16,IF(G38="週",$S$16,$T$16))</f>
        <v/>
      </c>
      <c r="R38" s="1" t="n"/>
      <c r="S38" s="1" t="n"/>
      <c r="T38" s="1" t="n"/>
    </row>
    <row r="39" hidden="1" ht="19.5" customHeight="1" thickBot="1">
      <c r="B39" s="87" t="n"/>
      <c r="C39" s="29" t="inlineStr">
        <is>
          <t>主体業務</t>
        </is>
      </c>
      <c r="D39" s="27" t="n"/>
      <c r="E39" s="28" t="n"/>
      <c r="F39" s="12" t="inlineStr">
        <is>
          <t>/</t>
        </is>
      </c>
      <c r="G39" s="13" t="inlineStr">
        <is>
          <t>月</t>
        </is>
      </c>
      <c r="H39" s="48">
        <f>I39*E39</f>
        <v/>
      </c>
      <c r="I39" s="15">
        <f>IF(G39="月",$R$16,IF(G39="週",$S$16,$T$16))</f>
        <v/>
      </c>
      <c r="R39" s="1" t="n"/>
      <c r="S39" s="1" t="n"/>
      <c r="T39" s="1" t="n"/>
    </row>
    <row r="40" hidden="1" ht="19.5" customHeight="1" thickBot="1">
      <c r="B40" s="87" t="n"/>
      <c r="C40" s="29" t="inlineStr">
        <is>
          <t>主体業務</t>
        </is>
      </c>
      <c r="D40" s="27" t="n"/>
      <c r="E40" s="28" t="n"/>
      <c r="F40" s="12" t="inlineStr">
        <is>
          <t>/</t>
        </is>
      </c>
      <c r="G40" s="13" t="inlineStr">
        <is>
          <t>月</t>
        </is>
      </c>
      <c r="H40" s="48">
        <f>I40*E40</f>
        <v/>
      </c>
      <c r="I40" s="15">
        <f>IF(G40="月",$R$16,IF(G40="週",$S$16,$T$16))</f>
        <v/>
      </c>
      <c r="R40" s="1" t="n"/>
      <c r="S40" s="1" t="n"/>
      <c r="T40" s="1" t="n"/>
    </row>
    <row r="41" hidden="1" ht="19.5" customHeight="1" thickBot="1">
      <c r="B41" s="87" t="n"/>
      <c r="C41" s="29" t="inlineStr">
        <is>
          <t>主体業務</t>
        </is>
      </c>
      <c r="D41" s="27" t="n"/>
      <c r="E41" s="28" t="n"/>
      <c r="F41" s="12" t="inlineStr">
        <is>
          <t>/</t>
        </is>
      </c>
      <c r="G41" s="13" t="inlineStr">
        <is>
          <t>月</t>
        </is>
      </c>
      <c r="H41" s="48">
        <f>I41*E41</f>
        <v/>
      </c>
      <c r="I41" s="15">
        <f>IF(G41="月",$R$16,IF(G41="週",$S$16,$T$16))</f>
        <v/>
      </c>
      <c r="R41" s="1" t="n"/>
      <c r="S41" s="1" t="n"/>
      <c r="T41" s="1" t="n"/>
    </row>
    <row r="42" hidden="1" ht="19.5" customHeight="1" thickBot="1">
      <c r="B42" s="87" t="n"/>
      <c r="C42" s="29" t="inlineStr">
        <is>
          <t>主体業務</t>
        </is>
      </c>
      <c r="D42" s="27" t="n"/>
      <c r="E42" s="28" t="n"/>
      <c r="F42" s="12" t="inlineStr">
        <is>
          <t>/</t>
        </is>
      </c>
      <c r="G42" s="13" t="inlineStr">
        <is>
          <t>月</t>
        </is>
      </c>
      <c r="H42" s="48">
        <f>I42*E42</f>
        <v/>
      </c>
      <c r="I42" s="15">
        <f>IF(G42="月",$R$16,IF(G42="週",$S$16,$T$16))</f>
        <v/>
      </c>
      <c r="R42" s="1" t="n"/>
      <c r="S42" s="1" t="n"/>
      <c r="T42" s="1" t="n"/>
    </row>
    <row r="43" hidden="1" ht="19.5" customHeight="1" thickBot="1">
      <c r="B43" s="88" t="n"/>
      <c r="C43" s="31" t="n"/>
      <c r="D43" s="27" t="n"/>
      <c r="E43" s="28" t="n"/>
      <c r="F43" s="12" t="inlineStr">
        <is>
          <t>/</t>
        </is>
      </c>
      <c r="G43" s="13" t="inlineStr">
        <is>
          <t>月</t>
        </is>
      </c>
      <c r="H43" s="48">
        <f>I43*E43</f>
        <v/>
      </c>
      <c r="I43" s="15">
        <f>IF(G43="月",$R$16,IF(G43="週",$S$16,$T$16))</f>
        <v/>
      </c>
      <c r="R43" s="1" t="n"/>
      <c r="S43" s="1" t="n"/>
      <c r="T43" s="1" t="n"/>
    </row>
    <row r="44" ht="24.75" customHeight="1" thickTop="1">
      <c r="A44" s="32" t="n"/>
      <c r="B44" s="32" t="n"/>
      <c r="C44" s="49" t="inlineStr">
        <is>
          <t>合計</t>
        </is>
      </c>
      <c r="D44" s="91" t="n"/>
      <c r="E44" s="91" t="n"/>
      <c r="F44" s="91" t="n"/>
      <c r="G44" s="92" t="n"/>
      <c r="H44" s="33">
        <f>SUM(H3:H43)</f>
        <v/>
      </c>
      <c r="I44" s="34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4" t="n"/>
      <c r="S44" s="34" t="n"/>
      <c r="T44" s="34" t="n"/>
      <c r="U44" s="32" t="n"/>
    </row>
    <row r="45" ht="24" customHeight="1">
      <c r="A45" s="32" t="n"/>
      <c r="B45" s="32" t="n"/>
      <c r="C45" s="50" t="inlineStr">
        <is>
          <t>実際の勤務時間</t>
        </is>
      </c>
      <c r="D45" s="93" t="n"/>
      <c r="E45" s="93" t="n"/>
      <c r="F45" s="93" t="n"/>
      <c r="G45" s="94" t="n"/>
      <c r="H45" s="50" t="n">
        <v>9.66</v>
      </c>
      <c r="I45" s="36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6" t="n"/>
      <c r="S45" s="36" t="n"/>
      <c r="T45" s="36" t="n"/>
      <c r="U45" s="32" t="n"/>
    </row>
    <row r="46" ht="24" customHeight="1">
      <c r="A46" s="32" t="n"/>
      <c r="B46" s="32" t="n"/>
      <c r="C46" s="39" t="inlineStr">
        <is>
          <t>比率</t>
        </is>
      </c>
      <c r="D46" s="93" t="n"/>
      <c r="E46" s="93" t="n"/>
      <c r="F46" s="93" t="n"/>
      <c r="G46" s="94" t="n"/>
      <c r="H46" s="37">
        <f>H44/H45</f>
        <v/>
      </c>
      <c r="I46" s="95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95" t="n"/>
      <c r="S46" s="95" t="n"/>
      <c r="T46" s="95" t="n"/>
      <c r="U46" s="32" t="n"/>
    </row>
    <row r="47">
      <c r="E47" s="1" t="n"/>
      <c r="F47" s="1" t="n"/>
      <c r="G47" s="1" t="n"/>
      <c r="R47" s="1" t="n"/>
      <c r="S47" s="1" t="n"/>
      <c r="T47" s="1" t="n"/>
    </row>
  </sheetData>
  <mergeCells count="7">
    <mergeCell ref="B31:B43"/>
    <mergeCell ref="R15:T15"/>
    <mergeCell ref="C46:G46"/>
    <mergeCell ref="C44:G44"/>
    <mergeCell ref="C45:G45"/>
    <mergeCell ref="B3:B14"/>
    <mergeCell ref="B15:B30"/>
  </mergeCells>
  <dataValidations count="1">
    <dataValidation sqref="G3:G43" showDropDown="0" showInputMessage="1" showErrorMessage="1" allowBlank="1" type="list">
      <formula1>"月,週,日"</formula1>
    </dataValidation>
  </dataValidation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13">
    <outlinePr summaryBelow="1" summaryRight="1"/>
    <pageSetUpPr/>
  </sheetPr>
  <dimension ref="A1:U47"/>
  <sheetViews>
    <sheetView topLeftCell="C1" zoomScaleNormal="100" workbookViewId="0">
      <selection activeCell="E3" sqref="E3"/>
    </sheetView>
  </sheetViews>
  <sheetFormatPr baseColWidth="8" defaultColWidth="8.875" defaultRowHeight="18.75"/>
  <cols>
    <col width="13.375" customWidth="1" min="1" max="1"/>
    <col width="17.875" customWidth="1" min="2" max="2"/>
    <col width="14.625" customWidth="1" min="3" max="3"/>
    <col width="35" customWidth="1" min="4" max="4"/>
    <col width="6.125" customWidth="1" min="5" max="5"/>
    <col width="2.125" customWidth="1" min="6" max="6"/>
    <col width="5.5" customWidth="1" min="7" max="7"/>
    <col width="11.625" customWidth="1" min="8" max="8"/>
    <col width="12.125" customWidth="1" min="9" max="9"/>
    <col width="9.625" customWidth="1" min="10" max="10"/>
    <col width="23.5" customWidth="1" min="11" max="11"/>
    <col width="7.125" customWidth="1" min="18" max="20"/>
  </cols>
  <sheetData>
    <row r="1">
      <c r="E1" s="1" t="n"/>
      <c r="F1" s="1" t="n"/>
      <c r="G1" s="1" t="n"/>
      <c r="R1" s="1" t="n"/>
      <c r="S1" s="1" t="n"/>
      <c r="T1" s="1" t="n"/>
    </row>
    <row r="2" ht="56.25" customHeight="1">
      <c r="C2" s="2" t="n"/>
      <c r="D2" s="3" t="inlineStr">
        <is>
          <t>業務内容・・・（例）</t>
        </is>
      </c>
      <c r="E2" s="4" t="inlineStr">
        <is>
          <t>業務
時間
（h）</t>
        </is>
      </c>
      <c r="F2" s="5" t="inlineStr">
        <is>
          <t>/</t>
        </is>
      </c>
      <c r="G2" s="6" t="inlineStr">
        <is>
          <t>単位</t>
        </is>
      </c>
      <c r="H2" s="7" t="inlineStr">
        <is>
          <t>１ヵ月あたりの時間
(h）</t>
        </is>
      </c>
      <c r="I2" s="8" t="n"/>
      <c r="R2" s="1" t="n"/>
      <c r="S2" s="1" t="n"/>
      <c r="T2" s="1" t="n"/>
    </row>
    <row r="3">
      <c r="B3" s="40" t="inlineStr">
        <is>
          <t>削減可能業務</t>
        </is>
      </c>
      <c r="C3" s="9" t="inlineStr">
        <is>
          <t>非定常業務</t>
        </is>
      </c>
      <c r="D3" s="10" t="inlineStr">
        <is>
          <t>品質確認</t>
        </is>
      </c>
      <c r="E3" s="11" t="n">
        <v>4.25</v>
      </c>
      <c r="F3" s="12" t="inlineStr">
        <is>
          <t>/</t>
        </is>
      </c>
      <c r="G3" s="13" t="inlineStr">
        <is>
          <t>月</t>
        </is>
      </c>
      <c r="H3" s="41">
        <f>I3*E3</f>
        <v/>
      </c>
      <c r="I3" s="15">
        <f>IF(G3="月",$R$16,IF(G3="週",$S$16,$T$16))</f>
        <v/>
      </c>
    </row>
    <row r="4" ht="19.5" customHeight="1" thickBot="1">
      <c r="B4" s="87" t="n"/>
      <c r="C4" s="9" t="inlineStr">
        <is>
          <t>非定常業務</t>
        </is>
      </c>
      <c r="D4" s="10" t="inlineStr">
        <is>
          <t>手直し</t>
        </is>
      </c>
      <c r="E4" s="11" t="n">
        <v>1.71</v>
      </c>
      <c r="F4" s="12" t="inlineStr">
        <is>
          <t>/</t>
        </is>
      </c>
      <c r="G4" s="13" t="inlineStr">
        <is>
          <t>月</t>
        </is>
      </c>
      <c r="H4" s="41">
        <f>I4*E4</f>
        <v/>
      </c>
      <c r="I4" s="15">
        <f>IF(G4="月",$R$16,IF(G4="週",$S$16,$T$16))</f>
        <v/>
      </c>
    </row>
    <row r="5" hidden="1" ht="19.5" customHeight="1" thickBot="1">
      <c r="B5" s="87" t="n"/>
      <c r="C5" s="9" t="inlineStr">
        <is>
          <t>非定常業務</t>
        </is>
      </c>
      <c r="D5" s="10" t="n"/>
      <c r="E5" s="11" t="n"/>
      <c r="F5" s="12" t="inlineStr">
        <is>
          <t>/</t>
        </is>
      </c>
      <c r="G5" s="13" t="inlineStr">
        <is>
          <t>月</t>
        </is>
      </c>
      <c r="H5" s="41">
        <f>I5*E5</f>
        <v/>
      </c>
      <c r="I5" s="15">
        <f>IF(G5="月",$R$16,IF(G5="週",$S$16,$T$16))</f>
        <v/>
      </c>
    </row>
    <row r="6" hidden="1" ht="19.5" customHeight="1" thickBot="1">
      <c r="B6" s="87" t="n"/>
      <c r="C6" s="9" t="inlineStr">
        <is>
          <t>非定常業務</t>
        </is>
      </c>
      <c r="D6" s="10" t="n"/>
      <c r="E6" s="11" t="n"/>
      <c r="F6" s="12" t="inlineStr">
        <is>
          <t>/</t>
        </is>
      </c>
      <c r="G6" s="13" t="inlineStr">
        <is>
          <t>月</t>
        </is>
      </c>
      <c r="H6" s="41">
        <f>I6*E6</f>
        <v/>
      </c>
      <c r="I6" s="15">
        <f>IF(G6="月",$R$16,IF(G6="週",$S$16,$T$16))</f>
        <v/>
      </c>
    </row>
    <row r="7" hidden="1" ht="19.5" customHeight="1" thickBot="1">
      <c r="B7" s="87" t="n"/>
      <c r="C7" s="9" t="inlineStr">
        <is>
          <t>非定常業務</t>
        </is>
      </c>
      <c r="D7" s="10" t="n"/>
      <c r="E7" s="11" t="n"/>
      <c r="F7" s="12" t="inlineStr">
        <is>
          <t>/</t>
        </is>
      </c>
      <c r="G7" s="13" t="inlineStr">
        <is>
          <t>月</t>
        </is>
      </c>
      <c r="H7" s="41">
        <f>I7*E7</f>
        <v/>
      </c>
      <c r="I7" s="15">
        <f>IF(G7="月",$R$16,IF(G7="週",$S$16,$T$16))</f>
        <v/>
      </c>
    </row>
    <row r="8" hidden="1" ht="19.5" customHeight="1" thickBot="1">
      <c r="B8" s="87" t="n"/>
      <c r="C8" s="9" t="inlineStr">
        <is>
          <t>非定常業務</t>
        </is>
      </c>
      <c r="D8" s="10" t="n"/>
      <c r="E8" s="11" t="n"/>
      <c r="F8" s="12" t="inlineStr">
        <is>
          <t>/</t>
        </is>
      </c>
      <c r="G8" s="13" t="inlineStr">
        <is>
          <t>月</t>
        </is>
      </c>
      <c r="H8" s="41">
        <f>I8*E8</f>
        <v/>
      </c>
      <c r="I8" s="15">
        <f>IF(G8="月",$R$16,IF(G8="週",$S$16,$T$16))</f>
        <v/>
      </c>
      <c r="R8" s="1" t="n"/>
      <c r="S8" s="1" t="n"/>
      <c r="T8" s="1" t="n"/>
    </row>
    <row r="9" hidden="1" ht="19.5" customHeight="1" thickBot="1">
      <c r="B9" s="87" t="n"/>
      <c r="C9" s="9" t="inlineStr">
        <is>
          <t>非定常業務</t>
        </is>
      </c>
      <c r="D9" s="10" t="n"/>
      <c r="E9" s="11" t="n"/>
      <c r="F9" s="12" t="inlineStr">
        <is>
          <t>/</t>
        </is>
      </c>
      <c r="G9" s="13" t="inlineStr">
        <is>
          <t>月</t>
        </is>
      </c>
      <c r="H9" s="41">
        <f>I9*E9</f>
        <v/>
      </c>
      <c r="I9" s="15">
        <f>IF(G9="月",$R$16,IF(G9="週",$S$16,$T$16))</f>
        <v/>
      </c>
      <c r="R9" s="1" t="n"/>
      <c r="S9" s="1" t="n"/>
      <c r="T9" s="1" t="n"/>
    </row>
    <row r="10" hidden="1" ht="19.5" customHeight="1" thickBot="1">
      <c r="B10" s="87" t="n"/>
      <c r="C10" s="9" t="inlineStr">
        <is>
          <t>非定常業務</t>
        </is>
      </c>
      <c r="D10" s="10" t="n"/>
      <c r="E10" s="16" t="n"/>
      <c r="F10" s="17" t="inlineStr">
        <is>
          <t>/</t>
        </is>
      </c>
      <c r="G10" s="13" t="inlineStr">
        <is>
          <t>月</t>
        </is>
      </c>
      <c r="H10" s="41">
        <f>I10*E10</f>
        <v/>
      </c>
      <c r="I10" s="15">
        <f>IF(G10="月",$R$16,IF(G10="週",$S$16,$T$16))</f>
        <v/>
      </c>
      <c r="R10" s="1" t="n"/>
      <c r="S10" s="1" t="n"/>
      <c r="T10" s="1" t="n"/>
    </row>
    <row r="11" hidden="1" ht="19.5" customHeight="1" thickBot="1">
      <c r="B11" s="87" t="n"/>
      <c r="C11" s="9" t="inlineStr">
        <is>
          <t>非定常業務</t>
        </is>
      </c>
      <c r="D11" s="10" t="n"/>
      <c r="E11" s="11" t="n"/>
      <c r="F11" s="12" t="inlineStr">
        <is>
          <t>/</t>
        </is>
      </c>
      <c r="G11" s="13" t="inlineStr">
        <is>
          <t>月</t>
        </is>
      </c>
      <c r="H11" s="41">
        <f>I11*E11</f>
        <v/>
      </c>
      <c r="I11" s="15">
        <f>IF(G11="月",$R$16,IF(G11="週",$S$16,$T$16))</f>
        <v/>
      </c>
      <c r="R11" s="1" t="n"/>
      <c r="S11" s="1" t="n"/>
      <c r="T11" s="1" t="n"/>
    </row>
    <row r="12" hidden="1" ht="19.5" customHeight="1" thickBot="1">
      <c r="B12" s="87" t="n"/>
      <c r="C12" s="9" t="inlineStr">
        <is>
          <t>非定常業務</t>
        </is>
      </c>
      <c r="D12" s="10" t="n"/>
      <c r="E12" s="11" t="n"/>
      <c r="F12" s="12" t="inlineStr">
        <is>
          <t>/</t>
        </is>
      </c>
      <c r="G12" s="13" t="inlineStr">
        <is>
          <t>月</t>
        </is>
      </c>
      <c r="H12" s="41">
        <f>I12*E12</f>
        <v/>
      </c>
      <c r="I12" s="15">
        <f>IF(G12="月",$R$16,IF(G12="週",$S$16,$T$16))</f>
        <v/>
      </c>
      <c r="R12" s="1" t="n"/>
      <c r="S12" s="1" t="n"/>
      <c r="T12" s="1" t="n"/>
    </row>
    <row r="13" hidden="1" ht="19.5" customHeight="1" thickBot="1">
      <c r="B13" s="87" t="n"/>
      <c r="C13" s="9" t="inlineStr">
        <is>
          <t>非定常業務</t>
        </is>
      </c>
      <c r="D13" s="10" t="n"/>
      <c r="E13" s="11" t="n"/>
      <c r="F13" s="12" t="inlineStr">
        <is>
          <t>/</t>
        </is>
      </c>
      <c r="G13" s="13" t="inlineStr">
        <is>
          <t>月</t>
        </is>
      </c>
      <c r="H13" s="41">
        <f>I13*E13</f>
        <v/>
      </c>
      <c r="I13" s="15">
        <f>IF(G13="月",$R$16,IF(G13="週",$S$16,$T$16))</f>
        <v/>
      </c>
      <c r="R13" s="1" t="n"/>
      <c r="S13" s="1" t="n"/>
      <c r="T13" s="1" t="n"/>
    </row>
    <row r="14" hidden="1" ht="19.5" customHeight="1" thickBot="1">
      <c r="B14" s="88" t="n"/>
      <c r="C14" s="9" t="n"/>
      <c r="D14" s="10" t="n"/>
      <c r="E14" s="11" t="n"/>
      <c r="F14" s="12" t="inlineStr">
        <is>
          <t>/</t>
        </is>
      </c>
      <c r="G14" s="13" t="inlineStr">
        <is>
          <t>月</t>
        </is>
      </c>
      <c r="H14" s="41">
        <f>I14*E14</f>
        <v/>
      </c>
      <c r="I14" s="15">
        <f>IF(G14="月",$R$16,IF(G14="週",$S$16,$T$16))</f>
        <v/>
      </c>
      <c r="R14" s="1" t="n"/>
      <c r="S14" s="1" t="n"/>
      <c r="T14" s="1" t="n"/>
    </row>
    <row r="15" ht="19.5" customHeight="1" thickBot="1">
      <c r="B15" s="42" t="inlineStr">
        <is>
          <t>付帯業務
ノンコア業務</t>
        </is>
      </c>
      <c r="C15" s="18" t="inlineStr">
        <is>
          <t>主要外業務</t>
        </is>
      </c>
      <c r="D15" s="10" t="inlineStr">
        <is>
          <t>ラジオ体操挨拶</t>
        </is>
      </c>
      <c r="E15" s="11" t="n">
        <v>0.59</v>
      </c>
      <c r="F15" s="12" t="inlineStr">
        <is>
          <t>/</t>
        </is>
      </c>
      <c r="G15" s="13" t="inlineStr">
        <is>
          <t>月</t>
        </is>
      </c>
      <c r="H15" s="43">
        <f>I15*E15</f>
        <v/>
      </c>
      <c r="I15" s="15">
        <f>IF(G15="月",$R$16,IF(G15="週",$S$16,$T$16))</f>
        <v/>
      </c>
      <c r="K15" s="20" t="inlineStr">
        <is>
          <t>削減可能業務</t>
        </is>
      </c>
      <c r="L15">
        <f>SUM(H3:H14)</f>
        <v/>
      </c>
      <c r="R15" s="44" t="inlineStr">
        <is>
          <t>掛け数</t>
        </is>
      </c>
      <c r="S15" s="89" t="n"/>
      <c r="T15" s="90" t="n"/>
    </row>
    <row r="16" ht="19.5" customHeight="1" thickBot="1">
      <c r="B16" s="87" t="n"/>
      <c r="C16" s="18" t="inlineStr">
        <is>
          <t>主要外業務</t>
        </is>
      </c>
      <c r="D16" s="10" t="inlineStr">
        <is>
          <t>研修報告書</t>
        </is>
      </c>
      <c r="E16" s="11" t="n">
        <v>1</v>
      </c>
      <c r="F16" s="12" t="inlineStr">
        <is>
          <t>/</t>
        </is>
      </c>
      <c r="G16" s="13" t="inlineStr">
        <is>
          <t>月</t>
        </is>
      </c>
      <c r="H16" s="43">
        <f>I16*E16</f>
        <v/>
      </c>
      <c r="I16" s="15">
        <f>IF(G16="月",$R$16,IF(G16="週",$S$16,$T$16))</f>
        <v/>
      </c>
      <c r="K16" s="21" t="inlineStr">
        <is>
          <t xml:space="preserve">付帯業務　</t>
        </is>
      </c>
      <c r="L16">
        <f>SUM(H15:H30)</f>
        <v/>
      </c>
      <c r="R16" s="22" t="n">
        <v>1</v>
      </c>
      <c r="S16" s="23" t="n">
        <v>4</v>
      </c>
      <c r="T16" s="24" t="n">
        <v>20</v>
      </c>
    </row>
    <row r="17">
      <c r="B17" s="87" t="n"/>
      <c r="C17" s="18" t="inlineStr">
        <is>
          <t>主要外業務</t>
        </is>
      </c>
      <c r="D17" s="10" t="inlineStr">
        <is>
          <t>昼礼</t>
        </is>
      </c>
      <c r="E17" s="11" t="n">
        <v>0.12</v>
      </c>
      <c r="F17" s="12" t="inlineStr">
        <is>
          <t>/</t>
        </is>
      </c>
      <c r="G17" s="13" t="inlineStr">
        <is>
          <t>月</t>
        </is>
      </c>
      <c r="H17" s="43">
        <f>I17*E17</f>
        <v/>
      </c>
      <c r="I17" s="15">
        <f>IF(G17="月",$R$16,IF(G17="週",$S$16,$T$16))</f>
        <v/>
      </c>
      <c r="K17" s="25">
        <f>C31</f>
        <v/>
      </c>
      <c r="L17">
        <f>SUM(H31:H41)</f>
        <v/>
      </c>
      <c r="R17" s="1" t="n"/>
      <c r="S17" s="1" t="n"/>
      <c r="T17" s="1" t="n"/>
    </row>
    <row r="18">
      <c r="B18" s="87" t="n"/>
      <c r="C18" s="18" t="inlineStr">
        <is>
          <t>主要外業務</t>
        </is>
      </c>
      <c r="D18" s="10" t="inlineStr">
        <is>
          <t>5分掃除　トイレ掃除</t>
        </is>
      </c>
      <c r="E18" s="11" t="n">
        <v>0.45</v>
      </c>
      <c r="F18" s="12" t="inlineStr">
        <is>
          <t>/</t>
        </is>
      </c>
      <c r="G18" s="13" t="inlineStr">
        <is>
          <t>月</t>
        </is>
      </c>
      <c r="H18" s="43">
        <f>I18*E18</f>
        <v/>
      </c>
      <c r="I18" s="15">
        <f>IF(G18="月",$R$16,IF(G18="週",$S$16,$T$16))</f>
        <v/>
      </c>
      <c r="R18" t="inlineStr">
        <is>
          <t>毎日×20　⇒　１ヵ月あたり</t>
        </is>
      </c>
      <c r="S18" s="1" t="n"/>
      <c r="T18" s="1" t="n"/>
    </row>
    <row r="19">
      <c r="B19" s="87" t="n"/>
      <c r="C19" s="18" t="inlineStr">
        <is>
          <t>主要外業務</t>
        </is>
      </c>
      <c r="D19" s="26" t="inlineStr">
        <is>
          <t>残業確認</t>
        </is>
      </c>
      <c r="E19" s="11" t="n">
        <v>1.55</v>
      </c>
      <c r="F19" s="12" t="inlineStr">
        <is>
          <t>/</t>
        </is>
      </c>
      <c r="G19" s="13" t="inlineStr">
        <is>
          <t>月</t>
        </is>
      </c>
      <c r="H19" s="43">
        <f>I19*E19</f>
        <v/>
      </c>
      <c r="I19" s="15">
        <f>IF(G19="月",$R$16,IF(G19="週",$S$16,$T$16))</f>
        <v/>
      </c>
      <c r="R19" t="inlineStr">
        <is>
          <t>１週間あたりk×4  ⇒　１ヵ月あたり</t>
        </is>
      </c>
      <c r="S19" s="1" t="n"/>
      <c r="T19" s="1" t="n"/>
    </row>
    <row r="20">
      <c r="B20" s="87" t="n"/>
      <c r="C20" s="18" t="inlineStr">
        <is>
          <t>主要外業務</t>
        </is>
      </c>
      <c r="D20" s="26" t="inlineStr">
        <is>
          <t>現場（作業）</t>
        </is>
      </c>
      <c r="E20" s="11" t="n">
        <v>14.9</v>
      </c>
      <c r="F20" s="12" t="inlineStr">
        <is>
          <t>/</t>
        </is>
      </c>
      <c r="G20" s="13" t="inlineStr">
        <is>
          <t>月</t>
        </is>
      </c>
      <c r="H20" s="43">
        <f>I20*E20</f>
        <v/>
      </c>
      <c r="I20" s="15">
        <f>IF(G20="月",$R$16,IF(G20="週",$S$16,$T$16))</f>
        <v/>
      </c>
      <c r="R20" s="1" t="n"/>
      <c r="S20" s="1" t="n"/>
      <c r="T20" s="1" t="n"/>
    </row>
    <row r="21">
      <c r="B21" s="87" t="n"/>
      <c r="C21" s="18" t="inlineStr">
        <is>
          <t>主要外業務</t>
        </is>
      </c>
      <c r="D21" s="26" t="inlineStr">
        <is>
          <t>メール確認</t>
        </is>
      </c>
      <c r="E21" s="16" t="n">
        <v>0.29</v>
      </c>
      <c r="F21" s="12" t="inlineStr">
        <is>
          <t>/</t>
        </is>
      </c>
      <c r="G21" s="13" t="inlineStr">
        <is>
          <t>月</t>
        </is>
      </c>
      <c r="H21" s="43">
        <f>I21*E21</f>
        <v/>
      </c>
      <c r="I21" s="15">
        <f>IF(G21="月",$R$16,IF(G21="週",$S$16,$T$16))</f>
        <v/>
      </c>
      <c r="R21" s="1" t="n"/>
      <c r="S21" s="1" t="n"/>
      <c r="T21" s="1" t="n"/>
    </row>
    <row r="22">
      <c r="B22" s="87" t="n"/>
      <c r="C22" s="18" t="inlineStr">
        <is>
          <t>主要外業務</t>
        </is>
      </c>
      <c r="D22" s="26" t="inlineStr">
        <is>
          <t>図面差し替え</t>
        </is>
      </c>
      <c r="E22" s="16" t="n">
        <v>0.22</v>
      </c>
      <c r="F22" s="12" t="inlineStr">
        <is>
          <t>/</t>
        </is>
      </c>
      <c r="G22" s="13" t="inlineStr">
        <is>
          <t>月</t>
        </is>
      </c>
      <c r="H22" s="43">
        <f>I22*E22</f>
        <v/>
      </c>
      <c r="I22" s="15">
        <f>IF(G22="月",$R$16,IF(G22="週",$S$16,$T$16))</f>
        <v/>
      </c>
      <c r="R22" s="1" t="n"/>
      <c r="S22" s="1" t="n"/>
      <c r="T22" s="1" t="n"/>
    </row>
    <row r="23">
      <c r="B23" s="87" t="n"/>
      <c r="C23" s="18" t="inlineStr">
        <is>
          <t>主要外業務</t>
        </is>
      </c>
      <c r="D23" s="26" t="inlineStr">
        <is>
          <t>資料まとめ</t>
        </is>
      </c>
      <c r="E23" s="16" t="n">
        <v>0.8</v>
      </c>
      <c r="F23" s="12" t="inlineStr">
        <is>
          <t>/</t>
        </is>
      </c>
      <c r="G23" s="13" t="inlineStr">
        <is>
          <t>月</t>
        </is>
      </c>
      <c r="H23" s="43">
        <f>I23*E23</f>
        <v/>
      </c>
      <c r="I23" s="15">
        <f>IF(G23="月",$R$16,IF(G23="週",$S$16,$T$16))</f>
        <v/>
      </c>
      <c r="R23" s="1" t="n"/>
      <c r="S23" s="1" t="n"/>
      <c r="T23" s="1" t="n"/>
    </row>
    <row r="24">
      <c r="B24" s="87" t="n"/>
      <c r="C24" s="18" t="inlineStr">
        <is>
          <t>主要外業務</t>
        </is>
      </c>
      <c r="D24" s="26" t="inlineStr">
        <is>
          <t>製品打ち合わせ</t>
        </is>
      </c>
      <c r="E24" s="11" t="n">
        <v>0.4</v>
      </c>
      <c r="F24" s="12" t="inlineStr">
        <is>
          <t>/</t>
        </is>
      </c>
      <c r="G24" s="13" t="inlineStr">
        <is>
          <t>月</t>
        </is>
      </c>
      <c r="H24" s="43">
        <f>I24*E24</f>
        <v/>
      </c>
      <c r="I24" s="15">
        <f>IF(G24="月",$R$16,IF(G24="週",$S$16,$T$16))</f>
        <v/>
      </c>
      <c r="R24" s="1" t="n"/>
      <c r="S24" s="1" t="n"/>
      <c r="T24" s="1" t="n"/>
    </row>
    <row r="25">
      <c r="B25" s="87" t="n"/>
      <c r="C25" s="18" t="inlineStr">
        <is>
          <t>主要外業務</t>
        </is>
      </c>
      <c r="D25" s="26" t="inlineStr">
        <is>
          <t>作業準備（高校生）</t>
        </is>
      </c>
      <c r="E25" s="16" t="n">
        <v>0.95</v>
      </c>
      <c r="F25" s="12" t="inlineStr">
        <is>
          <t>/</t>
        </is>
      </c>
      <c r="G25" s="13" t="inlineStr">
        <is>
          <t>月</t>
        </is>
      </c>
      <c r="H25" s="43">
        <f>I25*E25</f>
        <v/>
      </c>
      <c r="I25" s="15">
        <f>IF(G25="月",$R$16,IF(G25="週",$S$16,$T$16))</f>
        <v/>
      </c>
      <c r="R25" s="1" t="n"/>
      <c r="S25" s="1" t="n"/>
      <c r="T25" s="1" t="n"/>
    </row>
    <row r="26">
      <c r="B26" s="87" t="n"/>
      <c r="C26" s="18" t="inlineStr">
        <is>
          <t>主要外業務</t>
        </is>
      </c>
      <c r="D26" s="26" t="inlineStr">
        <is>
          <t>設備説明</t>
        </is>
      </c>
      <c r="E26" s="11" t="n">
        <v>0.03</v>
      </c>
      <c r="F26" s="12" t="inlineStr">
        <is>
          <t>/</t>
        </is>
      </c>
      <c r="G26" s="13" t="inlineStr">
        <is>
          <t>月</t>
        </is>
      </c>
      <c r="H26" s="43">
        <f>I26*E26</f>
        <v/>
      </c>
      <c r="I26" s="15">
        <f>IF(G26="月",$R$16,IF(G26="週",$S$16,$T$16))</f>
        <v/>
      </c>
      <c r="R26" s="1" t="n"/>
      <c r="S26" s="1" t="n"/>
      <c r="T26" s="1" t="n"/>
    </row>
    <row r="27">
      <c r="B27" s="87" t="n"/>
      <c r="C27" s="18" t="inlineStr">
        <is>
          <t>主要外業務</t>
        </is>
      </c>
      <c r="D27" s="26" t="inlineStr">
        <is>
          <t>回覧チェック</t>
        </is>
      </c>
      <c r="E27" s="11" t="n">
        <v>0.08</v>
      </c>
      <c r="F27" s="12" t="inlineStr">
        <is>
          <t>/</t>
        </is>
      </c>
      <c r="G27" s="13" t="inlineStr">
        <is>
          <t>月</t>
        </is>
      </c>
      <c r="H27" s="43">
        <f>I27*E27</f>
        <v/>
      </c>
      <c r="I27" s="15">
        <f>IF(G27="月",$R$16,IF(G27="週",$S$16,$T$16))</f>
        <v/>
      </c>
      <c r="R27" s="1" t="n"/>
      <c r="S27" s="1" t="n"/>
      <c r="T27" s="1" t="n"/>
    </row>
    <row r="28" hidden="1">
      <c r="B28" s="87" t="n"/>
      <c r="C28" s="18" t="inlineStr">
        <is>
          <t>主要外業務</t>
        </is>
      </c>
      <c r="D28" s="27" t="n"/>
      <c r="E28" s="28" t="n"/>
      <c r="F28" s="12" t="inlineStr">
        <is>
          <t>/</t>
        </is>
      </c>
      <c r="G28" s="13" t="inlineStr">
        <is>
          <t>月</t>
        </is>
      </c>
      <c r="H28" s="43">
        <f>I28*E28</f>
        <v/>
      </c>
      <c r="I28" s="15">
        <f>IF(G28="月",$R$16,IF(G28="週",$S$16,$T$16))</f>
        <v/>
      </c>
      <c r="R28" s="1" t="n"/>
      <c r="S28" s="1" t="n"/>
      <c r="T28" s="1" t="n"/>
    </row>
    <row r="29" hidden="1">
      <c r="B29" s="87" t="n"/>
      <c r="C29" s="18" t="inlineStr">
        <is>
          <t>主要外業務</t>
        </is>
      </c>
      <c r="D29" s="26" t="n"/>
      <c r="E29" s="16" t="n"/>
      <c r="F29" s="12" t="inlineStr">
        <is>
          <t>/</t>
        </is>
      </c>
      <c r="G29" s="13" t="inlineStr">
        <is>
          <t>月</t>
        </is>
      </c>
      <c r="H29" s="43">
        <f>I29*E29</f>
        <v/>
      </c>
      <c r="I29" s="15">
        <f>IF(G29="月",$R$16,IF(G29="週",$S$16,$T$16))</f>
        <v/>
      </c>
      <c r="R29" s="1" t="n"/>
      <c r="S29" s="1" t="n"/>
      <c r="T29" s="1" t="n"/>
    </row>
    <row r="30" hidden="1">
      <c r="B30" s="88" t="n"/>
      <c r="C30" s="18" t="n"/>
      <c r="D30" s="26" t="n"/>
      <c r="E30" s="16" t="n"/>
      <c r="F30" s="12" t="inlineStr">
        <is>
          <t>/</t>
        </is>
      </c>
      <c r="G30" s="13" t="inlineStr">
        <is>
          <t>月</t>
        </is>
      </c>
      <c r="H30" s="43">
        <f>I30*E30</f>
        <v/>
      </c>
      <c r="I30" s="15">
        <f>IF(G30="月",$R$16,IF(G30="週",$S$16,$T$16))</f>
        <v/>
      </c>
      <c r="R30" s="1" t="n"/>
      <c r="S30" s="1" t="n"/>
      <c r="T30" s="1" t="n"/>
    </row>
    <row r="31">
      <c r="B31" s="47" t="inlineStr">
        <is>
          <t>主体業務
コア業務</t>
        </is>
      </c>
      <c r="C31" s="29" t="inlineStr">
        <is>
          <t>主体業務</t>
        </is>
      </c>
      <c r="D31" s="10" t="inlineStr">
        <is>
          <t>検査表チェック</t>
        </is>
      </c>
      <c r="E31" s="16" t="n">
        <v>0.79</v>
      </c>
      <c r="F31" s="17" t="inlineStr">
        <is>
          <t>/</t>
        </is>
      </c>
      <c r="G31" s="13" t="inlineStr">
        <is>
          <t>月</t>
        </is>
      </c>
      <c r="H31" s="48">
        <f>I31*E31</f>
        <v/>
      </c>
      <c r="I31" s="15">
        <f>IF(G31="月",$R$16,IF(G31="週",$S$16,$T$16))</f>
        <v/>
      </c>
      <c r="R31" s="1" t="n"/>
      <c r="S31" s="1" t="n"/>
      <c r="T31" s="1" t="n"/>
    </row>
    <row r="32">
      <c r="B32" s="87" t="n"/>
      <c r="C32" s="29" t="inlineStr">
        <is>
          <t>主体業務</t>
        </is>
      </c>
      <c r="D32" s="10" t="inlineStr">
        <is>
          <t>工程確認</t>
        </is>
      </c>
      <c r="E32" s="11" t="n">
        <v>1.83</v>
      </c>
      <c r="F32" s="12" t="inlineStr">
        <is>
          <t>/</t>
        </is>
      </c>
      <c r="G32" s="13" t="inlineStr">
        <is>
          <t>月</t>
        </is>
      </c>
      <c r="H32" s="48">
        <f>I32*E32</f>
        <v/>
      </c>
      <c r="I32" s="15">
        <f>IF(G32="月",$R$16,IF(G32="週",$S$16,$T$16))</f>
        <v/>
      </c>
      <c r="R32" s="1" t="n"/>
      <c r="S32" s="1" t="n"/>
      <c r="T32" s="1" t="n"/>
    </row>
    <row r="33">
      <c r="B33" s="87" t="n"/>
      <c r="C33" s="29" t="inlineStr">
        <is>
          <t>主体業務</t>
        </is>
      </c>
      <c r="D33" s="10" t="inlineStr">
        <is>
          <t>現場（教育）</t>
        </is>
      </c>
      <c r="E33" s="11" t="n">
        <v>3.34</v>
      </c>
      <c r="F33" s="12" t="inlineStr">
        <is>
          <t>/</t>
        </is>
      </c>
      <c r="G33" s="13" t="inlineStr">
        <is>
          <t>月</t>
        </is>
      </c>
      <c r="H33" s="48">
        <f>I33*E33</f>
        <v/>
      </c>
      <c r="I33" s="15">
        <f>IF(G33="月",$R$16,IF(G33="週",$S$16,$T$16))</f>
        <v/>
      </c>
      <c r="R33" s="1" t="n"/>
      <c r="S33" s="1" t="n"/>
      <c r="T33" s="1" t="n"/>
    </row>
    <row r="34">
      <c r="B34" s="87" t="n"/>
      <c r="C34" s="29" t="inlineStr">
        <is>
          <t>主体業務</t>
        </is>
      </c>
      <c r="D34" s="10" t="inlineStr">
        <is>
          <t>標準作業書</t>
        </is>
      </c>
      <c r="E34" s="11" t="n">
        <v>12.3</v>
      </c>
      <c r="F34" s="12" t="inlineStr">
        <is>
          <t>/</t>
        </is>
      </c>
      <c r="G34" s="13" t="inlineStr">
        <is>
          <t>月</t>
        </is>
      </c>
      <c r="H34" s="48">
        <f>I34*E34</f>
        <v/>
      </c>
      <c r="I34" s="15">
        <f>IF(G34="月",$R$16,IF(G34="週",$S$16,$T$16))</f>
        <v/>
      </c>
      <c r="R34" s="1" t="n"/>
      <c r="S34" s="1" t="n"/>
      <c r="T34" s="1" t="n"/>
    </row>
    <row r="35">
      <c r="B35" s="87" t="n"/>
      <c r="C35" s="29" t="inlineStr">
        <is>
          <t>主体業務</t>
        </is>
      </c>
      <c r="D35" s="10" t="inlineStr">
        <is>
          <t>生産確認・フォーマット</t>
        </is>
      </c>
      <c r="E35" s="11" t="n">
        <v>2.32</v>
      </c>
      <c r="F35" s="12" t="inlineStr">
        <is>
          <t>/</t>
        </is>
      </c>
      <c r="G35" s="13" t="inlineStr">
        <is>
          <t>月</t>
        </is>
      </c>
      <c r="H35" s="48">
        <f>I35*E35</f>
        <v/>
      </c>
      <c r="I35" s="15">
        <f>IF(G35="月",$R$16,IF(G35="週",$S$16,$T$16))</f>
        <v/>
      </c>
      <c r="R35" s="1" t="n"/>
      <c r="S35" s="1" t="n"/>
      <c r="T35" s="1" t="n"/>
    </row>
    <row r="36">
      <c r="B36" s="87" t="n"/>
      <c r="C36" s="29" t="inlineStr">
        <is>
          <t>主体業務</t>
        </is>
      </c>
      <c r="D36" s="10" t="inlineStr">
        <is>
          <t>フォーマット打ち合わせ</t>
        </is>
      </c>
      <c r="E36" s="11" t="n">
        <v>1</v>
      </c>
      <c r="F36" s="12" t="inlineStr">
        <is>
          <t>/</t>
        </is>
      </c>
      <c r="G36" s="13" t="inlineStr">
        <is>
          <t>月</t>
        </is>
      </c>
      <c r="H36" s="48">
        <f>I36*E36</f>
        <v/>
      </c>
      <c r="I36" s="15">
        <f>IF(G36="月",$R$16,IF(G36="週",$S$16,$T$16))</f>
        <v/>
      </c>
      <c r="R36" s="1" t="n"/>
      <c r="S36" s="1" t="n"/>
      <c r="T36" s="1" t="n"/>
    </row>
    <row r="37">
      <c r="B37" s="87" t="n"/>
      <c r="C37" s="29" t="inlineStr">
        <is>
          <t>主体業務</t>
        </is>
      </c>
      <c r="D37" s="10" t="inlineStr">
        <is>
          <t>検査表作成</t>
        </is>
      </c>
      <c r="E37" s="11" t="n">
        <v>0.06</v>
      </c>
      <c r="F37" s="12" t="inlineStr">
        <is>
          <t>/</t>
        </is>
      </c>
      <c r="G37" s="13" t="inlineStr">
        <is>
          <t>月</t>
        </is>
      </c>
      <c r="H37" s="48">
        <f>I37*E37</f>
        <v/>
      </c>
      <c r="I37" s="15">
        <f>IF(G37="月",$R$16,IF(G37="週",$S$16,$T$16))</f>
        <v/>
      </c>
      <c r="R37" s="1" t="n"/>
      <c r="S37" s="1" t="n"/>
      <c r="T37" s="1" t="n"/>
    </row>
    <row r="38">
      <c r="B38" s="87" t="n"/>
      <c r="C38" s="29" t="inlineStr">
        <is>
          <t>主体業務</t>
        </is>
      </c>
      <c r="D38" s="10" t="inlineStr">
        <is>
          <t>現場（高校生）</t>
        </is>
      </c>
      <c r="E38" s="16" t="n">
        <v>0.53</v>
      </c>
      <c r="F38" s="12" t="inlineStr">
        <is>
          <t>/</t>
        </is>
      </c>
      <c r="G38" s="13" t="inlineStr">
        <is>
          <t>月</t>
        </is>
      </c>
      <c r="H38" s="48">
        <f>I38*E38</f>
        <v/>
      </c>
      <c r="I38" s="15">
        <f>IF(G38="月",$R$16,IF(G38="週",$S$16,$T$16))</f>
        <v/>
      </c>
      <c r="R38" s="1" t="n"/>
      <c r="S38" s="1" t="n"/>
      <c r="T38" s="1" t="n"/>
    </row>
    <row r="39" ht="19.5" customHeight="1" thickBot="1">
      <c r="B39" s="87" t="n"/>
      <c r="C39" s="29" t="inlineStr">
        <is>
          <t>主体業務</t>
        </is>
      </c>
      <c r="D39" s="10" t="inlineStr">
        <is>
          <t>治具出し</t>
        </is>
      </c>
      <c r="E39" s="11" t="n">
        <v>0.31</v>
      </c>
      <c r="F39" s="12" t="inlineStr">
        <is>
          <t>/</t>
        </is>
      </c>
      <c r="G39" s="13" t="inlineStr">
        <is>
          <t>月</t>
        </is>
      </c>
      <c r="H39" s="48">
        <f>I39*E39</f>
        <v/>
      </c>
      <c r="I39" s="15">
        <f>IF(G39="月",$R$16,IF(G39="週",$S$16,$T$16))</f>
        <v/>
      </c>
      <c r="R39" s="1" t="n"/>
      <c r="S39" s="1" t="n"/>
      <c r="T39" s="1" t="n"/>
    </row>
    <row r="40" hidden="1" ht="19.5" customHeight="1" thickBot="1">
      <c r="B40" s="87" t="n"/>
      <c r="C40" s="29" t="inlineStr">
        <is>
          <t>主体業務</t>
        </is>
      </c>
      <c r="D40" s="27" t="n"/>
      <c r="E40" s="28" t="n"/>
      <c r="F40" s="12" t="inlineStr">
        <is>
          <t>/</t>
        </is>
      </c>
      <c r="G40" s="13" t="inlineStr">
        <is>
          <t>月</t>
        </is>
      </c>
      <c r="H40" s="48">
        <f>I40*E40</f>
        <v/>
      </c>
      <c r="I40" s="15">
        <f>IF(G40="月",$R$16,IF(G40="週",$S$16,$T$16))</f>
        <v/>
      </c>
      <c r="R40" s="1" t="n"/>
      <c r="S40" s="1" t="n"/>
      <c r="T40" s="1" t="n"/>
    </row>
    <row r="41" hidden="1" ht="19.5" customHeight="1" thickBot="1">
      <c r="B41" s="87" t="n"/>
      <c r="C41" s="29" t="inlineStr">
        <is>
          <t>主体業務</t>
        </is>
      </c>
      <c r="D41" s="27" t="n"/>
      <c r="E41" s="28" t="n"/>
      <c r="F41" s="12" t="inlineStr">
        <is>
          <t>/</t>
        </is>
      </c>
      <c r="G41" s="13" t="inlineStr">
        <is>
          <t>月</t>
        </is>
      </c>
      <c r="H41" s="48">
        <f>I41*E41</f>
        <v/>
      </c>
      <c r="I41" s="15">
        <f>IF(G41="月",$R$16,IF(G41="週",$S$16,$T$16))</f>
        <v/>
      </c>
      <c r="R41" s="1" t="n"/>
      <c r="S41" s="1" t="n"/>
      <c r="T41" s="1" t="n"/>
    </row>
    <row r="42" hidden="1" ht="19.5" customHeight="1" thickBot="1">
      <c r="B42" s="87" t="n"/>
      <c r="C42" s="29" t="inlineStr">
        <is>
          <t>主体業務</t>
        </is>
      </c>
      <c r="D42" s="27" t="n"/>
      <c r="E42" s="28" t="n"/>
      <c r="F42" s="12" t="inlineStr">
        <is>
          <t>/</t>
        </is>
      </c>
      <c r="G42" s="13" t="inlineStr">
        <is>
          <t>月</t>
        </is>
      </c>
      <c r="H42" s="48">
        <f>I42*E42</f>
        <v/>
      </c>
      <c r="I42" s="15">
        <f>IF(G42="月",$R$16,IF(G42="週",$S$16,$T$16))</f>
        <v/>
      </c>
      <c r="R42" s="1" t="n"/>
      <c r="S42" s="1" t="n"/>
      <c r="T42" s="1" t="n"/>
    </row>
    <row r="43" hidden="1" ht="19.5" customHeight="1" thickBot="1">
      <c r="B43" s="88" t="n"/>
      <c r="C43" s="31" t="n"/>
      <c r="D43" s="27" t="n"/>
      <c r="E43" s="28" t="n"/>
      <c r="F43" s="12" t="inlineStr">
        <is>
          <t>/</t>
        </is>
      </c>
      <c r="G43" s="13" t="inlineStr">
        <is>
          <t>月</t>
        </is>
      </c>
      <c r="H43" s="48">
        <f>I43*E43</f>
        <v/>
      </c>
      <c r="I43" s="15">
        <f>IF(G43="月",$R$16,IF(G43="週",$S$16,$T$16))</f>
        <v/>
      </c>
      <c r="R43" s="1" t="n"/>
      <c r="S43" s="1" t="n"/>
      <c r="T43" s="1" t="n"/>
    </row>
    <row r="44" ht="24.75" customHeight="1" thickTop="1">
      <c r="A44" s="32" t="n"/>
      <c r="B44" s="32" t="n"/>
      <c r="C44" s="49" t="inlineStr">
        <is>
          <t>合計</t>
        </is>
      </c>
      <c r="D44" s="91" t="n"/>
      <c r="E44" s="91" t="n"/>
      <c r="F44" s="91" t="n"/>
      <c r="G44" s="92" t="n"/>
      <c r="H44" s="33">
        <f>SUM(H3:H43)</f>
        <v/>
      </c>
      <c r="I44" s="34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4" t="n"/>
      <c r="S44" s="34" t="n"/>
      <c r="T44" s="34" t="n"/>
      <c r="U44" s="32" t="n"/>
    </row>
    <row r="45" ht="24" customHeight="1">
      <c r="A45" s="32" t="n"/>
      <c r="B45" s="32" t="n"/>
      <c r="C45" s="50" t="inlineStr">
        <is>
          <t>実際の勤務時間</t>
        </is>
      </c>
      <c r="D45" s="93" t="n"/>
      <c r="E45" s="93" t="n"/>
      <c r="F45" s="93" t="n"/>
      <c r="G45" s="94" t="n"/>
      <c r="H45" s="50" t="n">
        <v>48.556</v>
      </c>
      <c r="I45" s="36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6" t="n"/>
      <c r="S45" s="36" t="n"/>
      <c r="T45" s="36" t="n"/>
      <c r="U45" s="32" t="n"/>
    </row>
    <row r="46" ht="24" customHeight="1">
      <c r="A46" s="32" t="n"/>
      <c r="B46" s="32" t="n"/>
      <c r="C46" s="39" t="inlineStr">
        <is>
          <t>比率</t>
        </is>
      </c>
      <c r="D46" s="93" t="n"/>
      <c r="E46" s="93" t="n"/>
      <c r="F46" s="93" t="n"/>
      <c r="G46" s="94" t="n"/>
      <c r="H46" s="37">
        <f>H44/H45</f>
        <v/>
      </c>
      <c r="I46" s="95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95" t="n"/>
      <c r="S46" s="95" t="n"/>
      <c r="T46" s="95" t="n"/>
      <c r="U46" s="32" t="n"/>
    </row>
    <row r="47">
      <c r="E47" s="1" t="n"/>
      <c r="F47" s="1" t="n"/>
      <c r="G47" s="1" t="n"/>
      <c r="R47" s="1" t="n"/>
      <c r="S47" s="1" t="n"/>
      <c r="T47" s="1" t="n"/>
    </row>
  </sheetData>
  <mergeCells count="7">
    <mergeCell ref="B31:B43"/>
    <mergeCell ref="R15:T15"/>
    <mergeCell ref="C46:G46"/>
    <mergeCell ref="C44:G44"/>
    <mergeCell ref="C45:G45"/>
    <mergeCell ref="B3:B14"/>
    <mergeCell ref="B15:B30"/>
  </mergeCells>
  <dataValidations count="1">
    <dataValidation sqref="G3:G43" showDropDown="0" showInputMessage="1" showErrorMessage="1" allowBlank="1" type="list">
      <formula1>"月,週,日"</formula1>
    </dataValidation>
  </dataValidation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6" customWidth="1" min="2" max="2"/>
    <col width="20" customWidth="1" min="3" max="3"/>
    <col width="34" customWidth="1" min="4" max="4"/>
    <col width="8" customWidth="1" min="5" max="5"/>
    <col width="8" customWidth="1" min="6" max="6"/>
    <col width="14" customWidth="1" min="7" max="7"/>
  </cols>
  <sheetData>
    <row r="2" ht="26" customHeight="1">
      <c r="B2" s="96" t="inlineStr">
        <is>
          <t>2026年5月12日（火）　業務記録</t>
        </is>
      </c>
    </row>
    <row r="3" ht="22" customHeight="1">
      <c r="B3" s="52" t="inlineStr">
        <is>
          <t>No.</t>
        </is>
      </c>
      <c r="C3" s="52" t="inlineStr">
        <is>
          <t>カテゴリ名</t>
        </is>
      </c>
      <c r="D3" s="52" t="inlineStr">
        <is>
          <t>業務内容</t>
        </is>
      </c>
      <c r="E3" s="52" t="inlineStr">
        <is>
          <t>開始</t>
        </is>
      </c>
      <c r="F3" s="52" t="inlineStr">
        <is>
          <t>終了</t>
        </is>
      </c>
      <c r="G3" s="52" t="inlineStr">
        <is>
          <t>所要時間（分）</t>
        </is>
      </c>
    </row>
    <row r="4" ht="18" customHeight="1">
      <c r="B4" s="74" t="inlineStr">
        <is>
          <t>⑥</t>
        </is>
      </c>
      <c r="C4" s="74" t="inlineStr">
        <is>
          <t>定常・移動・休憩</t>
        </is>
      </c>
      <c r="D4" s="97" t="inlineStr">
        <is>
          <t>ラジオ体操・各作業場所朝礼</t>
        </is>
      </c>
      <c r="E4" s="98" t="inlineStr">
        <is>
          <t>8:00</t>
        </is>
      </c>
      <c r="F4" s="98" t="inlineStr">
        <is>
          <t>8:10</t>
        </is>
      </c>
      <c r="G4" s="98" t="n">
        <v>10</v>
      </c>
    </row>
    <row r="5" ht="18" customHeight="1">
      <c r="B5" s="58" t="inlineStr">
        <is>
          <t>②</t>
        </is>
      </c>
      <c r="C5" s="58" t="inlineStr">
        <is>
          <t>社内マネジメント</t>
        </is>
      </c>
      <c r="D5" s="99" t="inlineStr">
        <is>
          <t>金峰・川場薄根 打ち合わせ（現場品物確認）</t>
        </is>
      </c>
      <c r="E5" s="100" t="inlineStr">
        <is>
          <t>8:10</t>
        </is>
      </c>
      <c r="F5" s="100" t="inlineStr">
        <is>
          <t>8:25</t>
        </is>
      </c>
      <c r="G5" s="100" t="n">
        <v>15</v>
      </c>
    </row>
    <row r="6" ht="18" customHeight="1">
      <c r="B6" s="70" t="inlineStr">
        <is>
          <t>⑤</t>
        </is>
      </c>
      <c r="C6" s="70" t="inlineStr">
        <is>
          <t>社内事務・管理</t>
        </is>
      </c>
      <c r="D6" s="101" t="inlineStr">
        <is>
          <t>事務作業</t>
        </is>
      </c>
      <c r="E6" s="102" t="inlineStr">
        <is>
          <t>8:25</t>
        </is>
      </c>
      <c r="F6" s="102" t="inlineStr">
        <is>
          <t>8:46</t>
        </is>
      </c>
      <c r="G6" s="102" t="n">
        <v>21</v>
      </c>
    </row>
    <row r="7" ht="18" customHeight="1">
      <c r="B7" s="74" t="inlineStr">
        <is>
          <t>⑥</t>
        </is>
      </c>
      <c r="C7" s="74" t="inlineStr">
        <is>
          <t>定常・移動・休憩</t>
        </is>
      </c>
      <c r="D7" s="97" t="inlineStr">
        <is>
          <t>笠取工場へ移動</t>
        </is>
      </c>
      <c r="E7" s="98" t="inlineStr">
        <is>
          <t>8:46</t>
        </is>
      </c>
      <c r="F7" s="98" t="inlineStr">
        <is>
          <t>9:03</t>
        </is>
      </c>
      <c r="G7" s="98" t="n">
        <v>17</v>
      </c>
    </row>
    <row r="8" ht="18" customHeight="1">
      <c r="B8" s="66" t="inlineStr">
        <is>
          <t>④</t>
        </is>
      </c>
      <c r="C8" s="66" t="inlineStr">
        <is>
          <t>現場直接作業</t>
        </is>
      </c>
      <c r="D8" s="103" t="inlineStr">
        <is>
          <t>治具の整理</t>
        </is>
      </c>
      <c r="E8" s="104" t="inlineStr">
        <is>
          <t>9:03</t>
        </is>
      </c>
      <c r="F8" s="104" t="inlineStr">
        <is>
          <t>10:00</t>
        </is>
      </c>
      <c r="G8" s="104" t="n">
        <v>57</v>
      </c>
    </row>
    <row r="9" ht="18" customHeight="1">
      <c r="B9" s="58" t="inlineStr">
        <is>
          <t>②</t>
        </is>
      </c>
      <c r="C9" s="58" t="inlineStr">
        <is>
          <t>社内マネジメント</t>
        </is>
      </c>
      <c r="D9" s="99" t="inlineStr">
        <is>
          <t>ナカモトと打ち合わせ</t>
        </is>
      </c>
      <c r="E9" s="100" t="inlineStr">
        <is>
          <t>10:00</t>
        </is>
      </c>
      <c r="F9" s="100" t="inlineStr">
        <is>
          <t>10:30</t>
        </is>
      </c>
      <c r="G9" s="100" t="n">
        <v>30</v>
      </c>
    </row>
    <row r="10" ht="18" customHeight="1">
      <c r="B10" s="66" t="inlineStr">
        <is>
          <t>④</t>
        </is>
      </c>
      <c r="C10" s="66" t="inlineStr">
        <is>
          <t>現場直接作業</t>
        </is>
      </c>
      <c r="D10" s="103" t="inlineStr">
        <is>
          <t>治具の整理（再開）</t>
        </is>
      </c>
      <c r="E10" s="104" t="inlineStr">
        <is>
          <t>10:30</t>
        </is>
      </c>
      <c r="F10" s="104" t="inlineStr">
        <is>
          <t>11:50</t>
        </is>
      </c>
      <c r="G10" s="104" t="n">
        <v>80</v>
      </c>
    </row>
    <row r="11" ht="18" customHeight="1">
      <c r="B11" s="74" t="inlineStr">
        <is>
          <t>⑥</t>
        </is>
      </c>
      <c r="C11" s="74" t="inlineStr">
        <is>
          <t>定常・移動・休憩</t>
        </is>
      </c>
      <c r="D11" s="97" t="inlineStr">
        <is>
          <t>本社工場へ移動</t>
        </is>
      </c>
      <c r="E11" s="98" t="inlineStr">
        <is>
          <t>11:50</t>
        </is>
      </c>
      <c r="F11" s="98" t="inlineStr">
        <is>
          <t>12:05</t>
        </is>
      </c>
      <c r="G11" s="98" t="n">
        <v>15</v>
      </c>
    </row>
    <row r="12" ht="18" customHeight="1">
      <c r="B12" s="74" t="inlineStr">
        <is>
          <t>⑥</t>
        </is>
      </c>
      <c r="C12" s="74" t="inlineStr">
        <is>
          <t>定常・移動・休憩</t>
        </is>
      </c>
      <c r="D12" s="97" t="inlineStr">
        <is>
          <t>昼休憩</t>
        </is>
      </c>
      <c r="E12" s="98" t="inlineStr">
        <is>
          <t>12:05</t>
        </is>
      </c>
      <c r="F12" s="98" t="inlineStr">
        <is>
          <t>12:45</t>
        </is>
      </c>
      <c r="G12" s="98" t="n">
        <v>40</v>
      </c>
    </row>
    <row r="13" ht="18" customHeight="1">
      <c r="B13" s="74" t="inlineStr">
        <is>
          <t>⑥</t>
        </is>
      </c>
      <c r="C13" s="74" t="inlineStr">
        <is>
          <t>定常・移動・休憩</t>
        </is>
      </c>
      <c r="D13" s="97" t="inlineStr">
        <is>
          <t>掃除</t>
        </is>
      </c>
      <c r="E13" s="98" t="inlineStr">
        <is>
          <t>12:45</t>
        </is>
      </c>
      <c r="F13" s="98" t="inlineStr">
        <is>
          <t>12:50</t>
        </is>
      </c>
      <c r="G13" s="98" t="n">
        <v>5</v>
      </c>
    </row>
    <row r="14" ht="18" customHeight="1">
      <c r="B14" s="62" t="inlineStr">
        <is>
          <t>③</t>
        </is>
      </c>
      <c r="C14" s="62" t="inlineStr">
        <is>
          <t>現場管理・監督</t>
        </is>
      </c>
      <c r="D14" s="105" t="inlineStr">
        <is>
          <t>現場周り</t>
        </is>
      </c>
      <c r="E14" s="106" t="inlineStr">
        <is>
          <t>12:50</t>
        </is>
      </c>
      <c r="F14" s="106" t="inlineStr">
        <is>
          <t>12:58</t>
        </is>
      </c>
      <c r="G14" s="106" t="n">
        <v>8</v>
      </c>
    </row>
    <row r="15" ht="18" customHeight="1">
      <c r="B15" s="70" t="inlineStr">
        <is>
          <t>⑤</t>
        </is>
      </c>
      <c r="C15" s="70" t="inlineStr">
        <is>
          <t>社内事務・管理</t>
        </is>
      </c>
      <c r="D15" s="101" t="inlineStr">
        <is>
          <t>事務処理（メール・資料）</t>
        </is>
      </c>
      <c r="E15" s="102" t="inlineStr">
        <is>
          <t>12:58</t>
        </is>
      </c>
      <c r="F15" s="102" t="inlineStr">
        <is>
          <t>13:10</t>
        </is>
      </c>
      <c r="G15" s="102" t="n">
        <v>12</v>
      </c>
    </row>
    <row r="16" ht="18" customHeight="1">
      <c r="B16" s="54" t="inlineStr">
        <is>
          <t>①</t>
        </is>
      </c>
      <c r="C16" s="54" t="inlineStr">
        <is>
          <t>経営・対外業務</t>
        </is>
      </c>
      <c r="D16" s="107" t="inlineStr">
        <is>
          <t>京都銀行来社 対応</t>
        </is>
      </c>
      <c r="E16" s="108" t="inlineStr">
        <is>
          <t>13:10</t>
        </is>
      </c>
      <c r="F16" s="108" t="inlineStr">
        <is>
          <t>15:00</t>
        </is>
      </c>
      <c r="G16" s="108" t="n">
        <v>110</v>
      </c>
    </row>
    <row r="17" ht="18" customHeight="1">
      <c r="B17" s="74" t="inlineStr">
        <is>
          <t>⑥</t>
        </is>
      </c>
      <c r="C17" s="74" t="inlineStr">
        <is>
          <t>定常・移動・休憩</t>
        </is>
      </c>
      <c r="D17" s="97" t="inlineStr">
        <is>
          <t>休憩</t>
        </is>
      </c>
      <c r="E17" s="98" t="inlineStr">
        <is>
          <t>15:00</t>
        </is>
      </c>
      <c r="F17" s="98" t="inlineStr">
        <is>
          <t>15:10</t>
        </is>
      </c>
      <c r="G17" s="98" t="n">
        <v>10</v>
      </c>
    </row>
    <row r="18" ht="18" customHeight="1">
      <c r="B18" s="70" t="inlineStr">
        <is>
          <t>⑤</t>
        </is>
      </c>
      <c r="C18" s="70" t="inlineStr">
        <is>
          <t>社内事務・管理</t>
        </is>
      </c>
      <c r="D18" s="101" t="inlineStr">
        <is>
          <t>事務作業</t>
        </is>
      </c>
      <c r="E18" s="102" t="inlineStr">
        <is>
          <t>15:10</t>
        </is>
      </c>
      <c r="F18" s="102" t="inlineStr">
        <is>
          <t>15:50</t>
        </is>
      </c>
      <c r="G18" s="102" t="n">
        <v>40</v>
      </c>
    </row>
    <row r="19" ht="18" customHeight="1">
      <c r="B19" s="62" t="inlineStr">
        <is>
          <t>③</t>
        </is>
      </c>
      <c r="C19" s="62" t="inlineStr">
        <is>
          <t>現場管理・監督</t>
        </is>
      </c>
      <c r="D19" s="105" t="inlineStr">
        <is>
          <t>現場周り</t>
        </is>
      </c>
      <c r="E19" s="106" t="inlineStr">
        <is>
          <t>15:50</t>
        </is>
      </c>
      <c r="F19" s="106" t="inlineStr">
        <is>
          <t>16:19</t>
        </is>
      </c>
      <c r="G19" s="106" t="n">
        <v>29</v>
      </c>
    </row>
    <row r="20" ht="18" customHeight="1">
      <c r="B20" s="70" t="inlineStr">
        <is>
          <t>⑤</t>
        </is>
      </c>
      <c r="C20" s="70" t="inlineStr">
        <is>
          <t>社内事務・管理</t>
        </is>
      </c>
      <c r="D20" s="101" t="inlineStr">
        <is>
          <t>事務処理（メール・資料・報告書作成）</t>
        </is>
      </c>
      <c r="E20" s="102" t="inlineStr">
        <is>
          <t>16:19</t>
        </is>
      </c>
      <c r="F20" s="102" t="inlineStr">
        <is>
          <t>18:08</t>
        </is>
      </c>
      <c r="G20" s="102" t="n">
        <v>109</v>
      </c>
    </row>
    <row r="22" ht="20" customHeight="1">
      <c r="B22" s="52" t="inlineStr">
        <is>
          <t>【カテゴリ別集計】</t>
        </is>
      </c>
    </row>
    <row r="23">
      <c r="B23" s="52" t="inlineStr">
        <is>
          <t>No.</t>
        </is>
      </c>
      <c r="C23" s="52" t="inlineStr">
        <is>
          <t>カテゴリ名</t>
        </is>
      </c>
      <c r="D23" s="52" t="inlineStr">
        <is>
          <t>合計（分）</t>
        </is>
      </c>
      <c r="E23" s="52" t="inlineStr">
        <is>
          <t>合計（時間）</t>
        </is>
      </c>
      <c r="F23" s="52" t="inlineStr">
        <is>
          <t>割合（%）</t>
        </is>
      </c>
      <c r="G23" s="53" t="n"/>
    </row>
    <row r="24" ht="18" customHeight="1">
      <c r="B24" s="54" t="inlineStr">
        <is>
          <t>①</t>
        </is>
      </c>
      <c r="C24" s="55" t="inlineStr">
        <is>
          <t>経営・対外業務</t>
        </is>
      </c>
      <c r="D24" s="108" t="n">
        <v>110</v>
      </c>
      <c r="E24" s="108" t="n">
        <v>1.8</v>
      </c>
      <c r="F24" s="108" t="n">
        <v>18.1</v>
      </c>
      <c r="G24" s="57" t="n"/>
    </row>
    <row r="25" ht="18" customHeight="1">
      <c r="B25" s="58" t="inlineStr">
        <is>
          <t>②</t>
        </is>
      </c>
      <c r="C25" s="59" t="inlineStr">
        <is>
          <t>社内マネジメント</t>
        </is>
      </c>
      <c r="D25" s="100" t="n">
        <v>45</v>
      </c>
      <c r="E25" s="100" t="n">
        <v>0.8</v>
      </c>
      <c r="F25" s="100" t="n">
        <v>7.4</v>
      </c>
      <c r="G25" s="61" t="n"/>
    </row>
    <row r="26" ht="18" customHeight="1">
      <c r="B26" s="62" t="inlineStr">
        <is>
          <t>③</t>
        </is>
      </c>
      <c r="C26" s="63" t="inlineStr">
        <is>
          <t>現場管理・監督</t>
        </is>
      </c>
      <c r="D26" s="106" t="n">
        <v>37</v>
      </c>
      <c r="E26" s="106" t="n">
        <v>0.6</v>
      </c>
      <c r="F26" s="106" t="n">
        <v>6.1</v>
      </c>
      <c r="G26" s="65" t="n"/>
    </row>
    <row r="27" ht="18" customHeight="1">
      <c r="B27" s="66" t="inlineStr">
        <is>
          <t>④</t>
        </is>
      </c>
      <c r="C27" s="67" t="inlineStr">
        <is>
          <t>現場直接作業</t>
        </is>
      </c>
      <c r="D27" s="104" t="n">
        <v>137</v>
      </c>
      <c r="E27" s="104" t="n">
        <v>2.3</v>
      </c>
      <c r="F27" s="104" t="n">
        <v>22.5</v>
      </c>
      <c r="G27" s="69" t="n"/>
    </row>
    <row r="28" ht="18" customHeight="1">
      <c r="B28" s="70" t="inlineStr">
        <is>
          <t>⑤</t>
        </is>
      </c>
      <c r="C28" s="71" t="inlineStr">
        <is>
          <t>社内事務・管理</t>
        </is>
      </c>
      <c r="D28" s="102" t="n">
        <v>182</v>
      </c>
      <c r="E28" s="102" t="n">
        <v>3</v>
      </c>
      <c r="F28" s="102" t="n">
        <v>29.9</v>
      </c>
      <c r="G28" s="73" t="n"/>
    </row>
    <row r="29" ht="18" customHeight="1">
      <c r="B29" s="74" t="inlineStr">
        <is>
          <t>⑥</t>
        </is>
      </c>
      <c r="C29" s="75" t="inlineStr">
        <is>
          <t>定常・移動・休憩</t>
        </is>
      </c>
      <c r="D29" s="98" t="n">
        <v>97</v>
      </c>
      <c r="E29" s="98" t="n">
        <v>1.6</v>
      </c>
      <c r="F29" s="98" t="n">
        <v>16</v>
      </c>
      <c r="G29" s="77" t="n"/>
    </row>
    <row r="30" ht="22" customHeight="1">
      <c r="B30" s="86" t="inlineStr">
        <is>
          <t>合計</t>
        </is>
      </c>
      <c r="C30" s="86" t="inlineStr"/>
      <c r="D30" s="86" t="n">
        <v>608</v>
      </c>
      <c r="E30" s="86" t="n">
        <v>10.1</v>
      </c>
      <c r="F30" s="86" t="n">
        <v>100</v>
      </c>
      <c r="G30" s="109" t="n"/>
    </row>
  </sheetData>
  <mergeCells count="2">
    <mergeCell ref="B22:G22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</dc:creator>
  <dcterms:created xsi:type="dcterms:W3CDTF">2024-12-16T01:43:41Z</dcterms:created>
  <dcterms:modified xsi:type="dcterms:W3CDTF">2026-05-12T12:27:10Z</dcterms:modified>
  <cp:lastModifiedBy>h</cp:lastModifiedBy>
</cp:coreProperties>
</file>